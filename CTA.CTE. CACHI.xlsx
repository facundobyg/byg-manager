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6582f64d1267bf/Desktop/BYG/CUENTAS CORRIENTES/Formato paraimportar/"/>
    </mc:Choice>
  </mc:AlternateContent>
  <xr:revisionPtr revIDLastSave="0" documentId="8_{3F277529-2E4F-437B-8B3D-C3D9D5B76191}" xr6:coauthVersionLast="47" xr6:coauthVersionMax="47" xr10:uidLastSave="{00000000-0000-0000-0000-000000000000}"/>
  <bookViews>
    <workbookView showHorizontalScroll="0" showVerticalScroll="0" xWindow="-120" yWindow="-120" windowWidth="29040" windowHeight="15720" xr2:uid="{A5D9556E-ACB2-48E1-809C-74B81AC7D43B}"/>
  </bookViews>
  <sheets>
    <sheet name="PF USD (1)" sheetId="8" r:id="rId1"/>
    <sheet name="PF USD (2)" sheetId="9" r:id="rId2"/>
    <sheet name="PF USD (3)" sheetId="5" r:id="rId3"/>
    <sheet name="PF USD (4)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7" l="1"/>
  <c r="E6" i="7"/>
  <c r="E7" i="7"/>
  <c r="E8" i="7"/>
  <c r="E9" i="7"/>
  <c r="E10" i="7"/>
  <c r="E11" i="7"/>
  <c r="G11" i="7"/>
  <c r="H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G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G58" i="7"/>
  <c r="E59" i="7"/>
  <c r="G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5" i="5"/>
  <c r="E6" i="5"/>
  <c r="E7" i="5"/>
  <c r="H7" i="5"/>
  <c r="I7" i="5"/>
  <c r="E8" i="5"/>
  <c r="E9" i="5"/>
  <c r="E10" i="5"/>
  <c r="E11" i="5"/>
  <c r="E12" i="5"/>
  <c r="E13" i="5"/>
  <c r="E14" i="5"/>
  <c r="H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F44" i="5"/>
  <c r="E45" i="5"/>
  <c r="F45" i="5"/>
  <c r="E46" i="5"/>
  <c r="E47" i="5"/>
  <c r="E48" i="5"/>
  <c r="E49" i="5"/>
  <c r="E50" i="5"/>
  <c r="E51" i="5"/>
  <c r="E52" i="5"/>
  <c r="E53" i="5"/>
  <c r="E54" i="5"/>
  <c r="E55" i="5"/>
  <c r="E56" i="5"/>
  <c r="F56" i="5"/>
  <c r="E57" i="5"/>
  <c r="F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5" i="9"/>
  <c r="E6" i="9"/>
  <c r="F6" i="9"/>
  <c r="G6" i="9"/>
  <c r="E7" i="9"/>
  <c r="F7" i="9"/>
  <c r="G7" i="9"/>
  <c r="E8" i="9"/>
  <c r="E9" i="9"/>
  <c r="E10" i="9"/>
  <c r="E11" i="9"/>
  <c r="E12" i="9"/>
  <c r="E13" i="9"/>
  <c r="E14" i="9"/>
  <c r="E15" i="9"/>
  <c r="E16" i="9"/>
  <c r="E17" i="9"/>
  <c r="E18" i="9"/>
  <c r="F18" i="9"/>
  <c r="G18" i="9"/>
  <c r="E19" i="9"/>
  <c r="F19" i="9"/>
  <c r="E20" i="9"/>
  <c r="E21" i="9"/>
  <c r="E22" i="9"/>
  <c r="E23" i="9"/>
  <c r="E24" i="9"/>
  <c r="E25" i="9"/>
  <c r="E26" i="9"/>
  <c r="E27" i="9"/>
  <c r="E28" i="9"/>
  <c r="E29" i="9"/>
  <c r="E30" i="9"/>
  <c r="E31" i="9"/>
  <c r="F31" i="9"/>
  <c r="G31" i="9"/>
  <c r="E32" i="9"/>
  <c r="F32" i="9"/>
  <c r="G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G19" i="9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</calcChain>
</file>

<file path=xl/sharedStrings.xml><?xml version="1.0" encoding="utf-8"?>
<sst xmlns="http://schemas.openxmlformats.org/spreadsheetml/2006/main" count="277" uniqueCount="11">
  <si>
    <t>D</t>
  </si>
  <si>
    <t>H</t>
  </si>
  <si>
    <t>FECHA</t>
  </si>
  <si>
    <t>DESCRIPCION</t>
  </si>
  <si>
    <t>Saldo</t>
  </si>
  <si>
    <t>CLIENTE:</t>
  </si>
  <si>
    <t>INGRESO</t>
  </si>
  <si>
    <t xml:space="preserve">Plazo Fijo </t>
  </si>
  <si>
    <t>Vencimiento 28/2/2021</t>
  </si>
  <si>
    <t>INTERESES GANADOS</t>
  </si>
  <si>
    <t>Ajuste de intereses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</si>
</sst>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0" formatCode="_ &quot;$&quot;\ * #,##0.00_ ;_ &quot;$&quot;\ * \-#,##0.00_ ;_ &quot;$&quot;\ * &quot;-&quot;??_ ;_ @_ "/>
    <numFmt numFmtId="186" formatCode="_(&quot;$&quot;* #,##0.00_);_(&quot;$&quot;* \(#,##0.00\);_(&quot;$&quot;* &quot;-&quot;??_);_(@_)"/>
    <numFmt numFmtId="187" formatCode="_(* #,##0.00_);_(* \(#,##0.00\);_(* &quot;-&quot;??_);_(@_)"/>
    <numFmt numFmtId="190" formatCode="_-* #,##0.00\ &quot;Pts&quot;_-;\-* #,##0.00\ &quot;Pts&quot;_-;_-* &quot;-&quot;??\ &quot;Pts&quot;_-;_-@_-"/>
    <numFmt numFmtId="192" formatCode="_ [$€-2]\ * #,##0.00_ ;_ [$€-2]\ * \-#,##0.00_ ;_ [$€-2]\ * &quot;-&quot;??_ "/>
    <numFmt numFmtId="193" formatCode="#,##0.000"/>
    <numFmt numFmtId="200" formatCode="0.0%"/>
  </numFmts>
  <fonts count="6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0">
    <xf numFmtId="0" fontId="0" fillId="0" borderId="0" applyFill="0" applyBorder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90" fontId="1" fillId="0" borderId="0" applyFont="0" applyFill="0" applyBorder="0" applyAlignment="0" applyProtection="0"/>
    <xf numFmtId="186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 applyFill="0" applyBorder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9">
    <xf numFmtId="0" fontId="0" fillId="0" borderId="0" xfId="0"/>
    <xf numFmtId="4" fontId="0" fillId="0" borderId="0" xfId="0" applyNumberFormat="1"/>
    <xf numFmtId="4" fontId="0" fillId="0" borderId="1" xfId="0" applyNumberFormat="1" applyBorder="1"/>
    <xf numFmtId="15" fontId="0" fillId="0" borderId="2" xfId="0" applyNumberFormat="1" applyBorder="1"/>
    <xf numFmtId="15" fontId="3" fillId="0" borderId="0" xfId="0" applyNumberFormat="1" applyFont="1"/>
    <xf numFmtId="4" fontId="0" fillId="0" borderId="0" xfId="0" applyNumberFormat="1" applyFill="1"/>
    <xf numFmtId="193" fontId="0" fillId="0" borderId="0" xfId="0" applyNumberFormat="1"/>
    <xf numFmtId="190" fontId="0" fillId="0" borderId="0" xfId="4" applyFont="1"/>
    <xf numFmtId="0" fontId="4" fillId="0" borderId="0" xfId="0" applyFont="1"/>
    <xf numFmtId="4" fontId="0" fillId="0" borderId="3" xfId="0" applyNumberFormat="1" applyBorder="1"/>
    <xf numFmtId="190" fontId="0" fillId="0" borderId="0" xfId="0" applyNumberFormat="1"/>
    <xf numFmtId="170" fontId="0" fillId="0" borderId="0" xfId="4" applyNumberFormat="1" applyFont="1"/>
    <xf numFmtId="170" fontId="0" fillId="0" borderId="0" xfId="0" applyNumberFormat="1"/>
    <xf numFmtId="4" fontId="0" fillId="0" borderId="0" xfId="0" applyNumberFormat="1" applyFill="1" applyBorder="1"/>
    <xf numFmtId="0" fontId="0" fillId="0" borderId="1" xfId="0" applyBorder="1"/>
    <xf numFmtId="15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" fontId="2" fillId="2" borderId="5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15" fontId="0" fillId="0" borderId="7" xfId="0" applyNumberFormat="1" applyBorder="1"/>
    <xf numFmtId="0" fontId="4" fillId="0" borderId="8" xfId="0" applyFont="1" applyBorder="1"/>
    <xf numFmtId="4" fontId="0" fillId="0" borderId="8" xfId="0" applyNumberFormat="1" applyBorder="1"/>
    <xf numFmtId="4" fontId="0" fillId="0" borderId="9" xfId="0" applyNumberFormat="1" applyBorder="1"/>
    <xf numFmtId="200" fontId="3" fillId="3" borderId="10" xfId="17" applyNumberFormat="1" applyFont="1" applyFill="1" applyBorder="1" applyAlignment="1">
      <alignment horizontal="center"/>
    </xf>
    <xf numFmtId="14" fontId="0" fillId="0" borderId="0" xfId="0" applyNumberFormat="1"/>
    <xf numFmtId="15" fontId="0" fillId="0" borderId="11" xfId="0" applyNumberFormat="1" applyBorder="1"/>
    <xf numFmtId="0" fontId="4" fillId="0" borderId="12" xfId="0" applyFont="1" applyBorder="1"/>
    <xf numFmtId="4" fontId="0" fillId="0" borderId="12" xfId="0" applyNumberFormat="1" applyBorder="1"/>
    <xf numFmtId="4" fontId="0" fillId="0" borderId="13" xfId="0" applyNumberFormat="1" applyBorder="1"/>
    <xf numFmtId="15" fontId="2" fillId="2" borderId="14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4" fontId="2" fillId="2" borderId="15" xfId="0" applyNumberFormat="1" applyFont="1" applyFill="1" applyBorder="1" applyAlignment="1">
      <alignment horizontal="center"/>
    </xf>
    <xf numFmtId="4" fontId="2" fillId="2" borderId="16" xfId="0" applyNumberFormat="1" applyFont="1" applyFill="1" applyBorder="1" applyAlignment="1">
      <alignment horizontal="center"/>
    </xf>
    <xf numFmtId="15" fontId="0" fillId="0" borderId="4" xfId="0" applyNumberFormat="1" applyBorder="1"/>
    <xf numFmtId="0" fontId="0" fillId="0" borderId="5" xfId="0" applyBorder="1"/>
    <xf numFmtId="4" fontId="0" fillId="0" borderId="5" xfId="0" applyNumberFormat="1" applyBorder="1"/>
    <xf numFmtId="4" fontId="0" fillId="0" borderId="6" xfId="0" applyNumberFormat="1" applyBorder="1"/>
    <xf numFmtId="15" fontId="0" fillId="0" borderId="17" xfId="0" applyNumberFormat="1" applyBorder="1"/>
    <xf numFmtId="0" fontId="4" fillId="0" borderId="18" xfId="0" applyFont="1" applyBorder="1"/>
    <xf numFmtId="4" fontId="0" fillId="0" borderId="18" xfId="0" applyNumberFormat="1" applyBorder="1"/>
    <xf numFmtId="4" fontId="0" fillId="0" borderId="19" xfId="0" applyNumberFormat="1" applyBorder="1"/>
    <xf numFmtId="15" fontId="0" fillId="0" borderId="20" xfId="0" applyNumberFormat="1" applyBorder="1"/>
    <xf numFmtId="0" fontId="0" fillId="0" borderId="21" xfId="0" applyBorder="1"/>
    <xf numFmtId="4" fontId="0" fillId="0" borderId="21" xfId="0" applyNumberFormat="1" applyBorder="1"/>
    <xf numFmtId="4" fontId="0" fillId="0" borderId="22" xfId="0" applyNumberFormat="1" applyBorder="1"/>
    <xf numFmtId="0" fontId="4" fillId="0" borderId="5" xfId="0" applyFont="1" applyBorder="1"/>
    <xf numFmtId="15" fontId="4" fillId="0" borderId="7" xfId="0" applyNumberFormat="1" applyFont="1" applyBorder="1"/>
    <xf numFmtId="15" fontId="4" fillId="0" borderId="4" xfId="0" applyNumberFormat="1" applyFont="1" applyBorder="1"/>
    <xf numFmtId="15" fontId="2" fillId="0" borderId="0" xfId="0" applyNumberFormat="1" applyFont="1" applyAlignment="1">
      <alignment horizontal="center"/>
    </xf>
  </cellXfs>
  <cellStyles count="20">
    <cellStyle name="Euro" xfId="1" xr:uid="{4EA4036C-F494-44F7-AF80-B999CD117B0A}"/>
    <cellStyle name="Euro 2" xfId="2" xr:uid="{28B876E5-D25A-45D7-B41D-2594F816B6BB}"/>
    <cellStyle name="Millares 2" xfId="3" xr:uid="{3F005840-C935-4AD2-A35E-85390EC798CD}"/>
    <cellStyle name="Moneda" xfId="4" builtinId="4"/>
    <cellStyle name="Moneda 2" xfId="5" xr:uid="{DD1B5DD4-9123-4DC5-AFF3-5702741F0320}"/>
    <cellStyle name="Moneda 2 2" xfId="6" xr:uid="{4981CCC9-3D4A-4DEB-99C6-950669A7FF91}"/>
    <cellStyle name="Moneda 3" xfId="7" xr:uid="{2A0129F6-1326-48AD-A42A-8C1E27E13D8D}"/>
    <cellStyle name="Normal" xfId="0" builtinId="0"/>
    <cellStyle name="Normal 2" xfId="8" xr:uid="{B0BF225F-D9EA-4302-AD1E-7E6286504F52}"/>
    <cellStyle name="Normal 2 2" xfId="9" xr:uid="{3BEC52D4-B5BA-4E67-882F-9391CE99294B}"/>
    <cellStyle name="Normal 2 3" xfId="10" xr:uid="{2DA13E18-B43D-4E19-B223-002B73E005DF}"/>
    <cellStyle name="Normal 3" xfId="11" xr:uid="{9051E694-E658-4B56-AF72-F1016B3B3B1E}"/>
    <cellStyle name="Normal 3 2" xfId="12" xr:uid="{A54565E0-3948-4EF5-9DBD-0E6CCDC5186F}"/>
    <cellStyle name="Normal 4" xfId="13" xr:uid="{C713F914-41B0-4828-8775-B40774EA15A8}"/>
    <cellStyle name="Normal 5" xfId="14" xr:uid="{0366D06E-5F3E-4FEA-8053-1083D26DB431}"/>
    <cellStyle name="Normal 6" xfId="15" xr:uid="{BB1FCC9A-4E2A-45AD-8C6E-CD2CAA568592}"/>
    <cellStyle name="Normal 7" xfId="16" xr:uid="{FD8A81C7-5BBB-4100-9A40-828D6738E9CC}"/>
    <cellStyle name="Porcentaje" xfId="17" builtinId="5"/>
    <cellStyle name="Porcentaje 2" xfId="18" xr:uid="{7506D7FE-5746-455C-ABCE-73FA3CC24A61}"/>
    <cellStyle name="Porcentaje 3" xfId="19" xr:uid="{590A7396-9FBF-4456-88BA-BCB89E47303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6865-AE78-46E1-9559-4873937E80FC}">
  <sheetPr>
    <pageSetUpPr fitToPage="1"/>
  </sheetPr>
  <dimension ref="A1:M140"/>
  <sheetViews>
    <sheetView showGridLines="0" tabSelected="1" zoomScaleNormal="100" workbookViewId="0">
      <pane ySplit="3" topLeftCell="A36" activePane="bottomLeft" state="frozen"/>
      <selection pane="bottomLeft" activeCell="J57" sqref="J57"/>
    </sheetView>
  </sheetViews>
  <sheetFormatPr baseColWidth="10" defaultColWidth="9.140625" defaultRowHeight="12.75" x14ac:dyDescent="0.2"/>
  <cols>
    <col min="1" max="1" width="10.42578125" bestFit="1" customWidth="1"/>
    <col min="2" max="2" width="44.28515625" customWidth="1"/>
    <col min="3" max="3" width="10.140625" bestFit="1" customWidth="1"/>
    <col min="4" max="4" width="9.140625" customWidth="1"/>
    <col min="5" max="5" width="10.42578125" bestFit="1" customWidth="1"/>
    <col min="7" max="7" width="11.140625" bestFit="1" customWidth="1"/>
    <col min="8" max="10" width="10.140625" bestFit="1" customWidth="1"/>
    <col min="11" max="11" width="14.7109375" bestFit="1" customWidth="1"/>
    <col min="12" max="13" width="11.140625" bestFit="1" customWidth="1"/>
  </cols>
  <sheetData>
    <row r="1" spans="1:13" ht="16.5" thickBot="1" x14ac:dyDescent="0.3">
      <c r="A1" s="48" t="s">
        <v>7</v>
      </c>
      <c r="B1" s="48"/>
      <c r="C1" s="48"/>
      <c r="D1" s="48"/>
      <c r="E1" s="48"/>
    </row>
    <row r="2" spans="1:13" ht="13.5" thickBot="1" x14ac:dyDescent="0.25">
      <c r="A2" s="4" t="s">
        <v>5</v>
      </c>
      <c r="B2" s="8"/>
      <c r="C2" s="5"/>
      <c r="D2" s="5"/>
      <c r="E2" s="23">
        <v>0.05</v>
      </c>
      <c r="G2" t="s">
        <v>8</v>
      </c>
      <c r="H2" s="24">
        <v>46061</v>
      </c>
      <c r="I2" s="24"/>
      <c r="J2" s="24"/>
      <c r="K2" s="24"/>
    </row>
    <row r="3" spans="1:13" ht="16.5" thickBot="1" x14ac:dyDescent="0.3">
      <c r="A3" s="29" t="s">
        <v>2</v>
      </c>
      <c r="B3" s="30" t="s">
        <v>3</v>
      </c>
      <c r="C3" s="31" t="s">
        <v>0</v>
      </c>
      <c r="D3" s="31" t="s">
        <v>1</v>
      </c>
      <c r="E3" s="32" t="s">
        <v>4</v>
      </c>
    </row>
    <row r="4" spans="1:13" x14ac:dyDescent="0.2">
      <c r="A4" s="33">
        <v>44324</v>
      </c>
      <c r="B4" s="34" t="s">
        <v>6</v>
      </c>
      <c r="C4" s="35">
        <v>12500</v>
      </c>
      <c r="D4" s="35">
        <v>0</v>
      </c>
      <c r="E4" s="36">
        <v>12500</v>
      </c>
    </row>
    <row r="5" spans="1:13" x14ac:dyDescent="0.2">
      <c r="A5" s="19">
        <v>44347</v>
      </c>
      <c r="B5" s="20" t="s">
        <v>9</v>
      </c>
      <c r="C5" s="21">
        <v>47</v>
      </c>
      <c r="D5" s="21">
        <v>0</v>
      </c>
      <c r="E5" s="22">
        <f t="shared" ref="E5:E68" si="0">SUM(E4+C5-D5)</f>
        <v>12547</v>
      </c>
      <c r="G5" s="1"/>
      <c r="H5" s="1"/>
      <c r="I5" s="10"/>
      <c r="J5" s="1"/>
      <c r="K5" s="1"/>
    </row>
    <row r="6" spans="1:13" x14ac:dyDescent="0.2">
      <c r="A6" s="19">
        <v>44377</v>
      </c>
      <c r="B6" s="20" t="s">
        <v>9</v>
      </c>
      <c r="C6" s="21">
        <v>47</v>
      </c>
      <c r="D6" s="21">
        <v>0</v>
      </c>
      <c r="E6" s="22">
        <f t="shared" si="0"/>
        <v>12594</v>
      </c>
      <c r="G6" s="6"/>
      <c r="H6" s="6"/>
      <c r="J6" s="6"/>
      <c r="K6" s="6"/>
    </row>
    <row r="7" spans="1:13" x14ac:dyDescent="0.2">
      <c r="A7" s="19">
        <v>44408</v>
      </c>
      <c r="B7" s="20" t="s">
        <v>9</v>
      </c>
      <c r="C7" s="21">
        <v>47</v>
      </c>
      <c r="D7" s="21">
        <v>0</v>
      </c>
      <c r="E7" s="22">
        <f t="shared" si="0"/>
        <v>12641</v>
      </c>
      <c r="G7" s="1"/>
      <c r="H7" s="1"/>
      <c r="I7" s="1"/>
      <c r="J7" s="1"/>
      <c r="K7" s="1"/>
    </row>
    <row r="8" spans="1:13" x14ac:dyDescent="0.2">
      <c r="A8" s="19">
        <v>44439</v>
      </c>
      <c r="B8" s="20" t="s">
        <v>9</v>
      </c>
      <c r="C8" s="21">
        <v>47</v>
      </c>
      <c r="D8" s="21">
        <v>0</v>
      </c>
      <c r="E8" s="22">
        <f t="shared" si="0"/>
        <v>12688</v>
      </c>
      <c r="G8" s="1"/>
      <c r="H8" s="7"/>
      <c r="I8" s="7"/>
      <c r="J8" s="7"/>
      <c r="K8" s="7"/>
      <c r="L8" s="10"/>
    </row>
    <row r="9" spans="1:13" x14ac:dyDescent="0.2">
      <c r="A9" s="19">
        <v>44469</v>
      </c>
      <c r="B9" s="20" t="s">
        <v>9</v>
      </c>
      <c r="C9" s="21">
        <v>47</v>
      </c>
      <c r="D9" s="21">
        <v>0</v>
      </c>
      <c r="E9" s="22">
        <f t="shared" si="0"/>
        <v>12735</v>
      </c>
      <c r="G9" s="1"/>
    </row>
    <row r="10" spans="1:13" x14ac:dyDescent="0.2">
      <c r="A10" s="19">
        <v>44500</v>
      </c>
      <c r="B10" s="20" t="s">
        <v>9</v>
      </c>
      <c r="C10" s="21">
        <v>47</v>
      </c>
      <c r="D10" s="21">
        <v>0</v>
      </c>
      <c r="E10" s="22">
        <f t="shared" si="0"/>
        <v>12782</v>
      </c>
      <c r="G10" s="1"/>
      <c r="H10" s="1"/>
      <c r="I10" s="1"/>
      <c r="J10" s="1"/>
      <c r="K10" s="1"/>
      <c r="L10" s="1"/>
    </row>
    <row r="11" spans="1:13" x14ac:dyDescent="0.2">
      <c r="A11" s="19">
        <v>44530</v>
      </c>
      <c r="B11" s="20" t="s">
        <v>9</v>
      </c>
      <c r="C11" s="21">
        <v>47</v>
      </c>
      <c r="D11" s="21">
        <v>0</v>
      </c>
      <c r="E11" s="22">
        <f t="shared" si="0"/>
        <v>12829</v>
      </c>
      <c r="G11" s="6"/>
      <c r="H11" s="6"/>
      <c r="I11" s="6"/>
      <c r="J11" s="6"/>
      <c r="K11" s="6"/>
      <c r="L11" s="6"/>
    </row>
    <row r="12" spans="1:13" x14ac:dyDescent="0.2">
      <c r="A12" s="19">
        <v>44561</v>
      </c>
      <c r="B12" s="20" t="s">
        <v>9</v>
      </c>
      <c r="C12" s="21">
        <v>47</v>
      </c>
      <c r="D12" s="21">
        <v>0</v>
      </c>
      <c r="E12" s="22">
        <f t="shared" si="0"/>
        <v>12876</v>
      </c>
      <c r="G12" s="1"/>
      <c r="H12" s="1"/>
      <c r="I12" s="1"/>
      <c r="J12" s="1"/>
      <c r="K12" s="1"/>
      <c r="L12" s="1"/>
    </row>
    <row r="13" spans="1:13" ht="13.5" thickBot="1" x14ac:dyDescent="0.25">
      <c r="A13" s="37">
        <v>44592</v>
      </c>
      <c r="B13" s="38" t="s">
        <v>9</v>
      </c>
      <c r="C13" s="39">
        <v>47</v>
      </c>
      <c r="D13" s="39">
        <v>0</v>
      </c>
      <c r="E13" s="40">
        <f t="shared" si="0"/>
        <v>12923</v>
      </c>
      <c r="G13" s="11"/>
      <c r="H13" s="11"/>
      <c r="I13" s="11"/>
      <c r="J13" s="11"/>
      <c r="K13" s="11"/>
      <c r="L13" s="7"/>
      <c r="M13" s="10"/>
    </row>
    <row r="14" spans="1:13" x14ac:dyDescent="0.2">
      <c r="A14" s="33">
        <v>44620</v>
      </c>
      <c r="B14" s="45" t="s">
        <v>9</v>
      </c>
      <c r="C14" s="35">
        <v>54</v>
      </c>
      <c r="D14" s="35">
        <v>0</v>
      </c>
      <c r="E14" s="36">
        <f t="shared" si="0"/>
        <v>12977</v>
      </c>
    </row>
    <row r="15" spans="1:13" x14ac:dyDescent="0.2">
      <c r="A15" s="19">
        <v>44651</v>
      </c>
      <c r="B15" s="20" t="s">
        <v>9</v>
      </c>
      <c r="C15" s="21">
        <v>54</v>
      </c>
      <c r="D15" s="21">
        <v>0</v>
      </c>
      <c r="E15" s="22">
        <f t="shared" si="0"/>
        <v>13031</v>
      </c>
      <c r="H15" s="1"/>
      <c r="I15" s="1"/>
      <c r="J15" s="1"/>
      <c r="K15" s="1"/>
    </row>
    <row r="16" spans="1:13" x14ac:dyDescent="0.2">
      <c r="A16" s="19">
        <v>44681</v>
      </c>
      <c r="B16" s="20" t="s">
        <v>9</v>
      </c>
      <c r="C16" s="21">
        <v>54</v>
      </c>
      <c r="D16" s="21">
        <v>0</v>
      </c>
      <c r="E16" s="22">
        <f t="shared" si="0"/>
        <v>13085</v>
      </c>
      <c r="H16" s="6"/>
      <c r="I16" s="1"/>
      <c r="J16" s="6"/>
      <c r="K16" s="6"/>
    </row>
    <row r="17" spans="1:12" x14ac:dyDescent="0.2">
      <c r="A17" s="19">
        <v>44712</v>
      </c>
      <c r="B17" s="20" t="s">
        <v>9</v>
      </c>
      <c r="C17" s="21">
        <v>54</v>
      </c>
      <c r="D17" s="21">
        <v>0</v>
      </c>
      <c r="E17" s="22">
        <f t="shared" si="0"/>
        <v>13139</v>
      </c>
      <c r="H17" s="1"/>
      <c r="I17" s="1"/>
      <c r="J17" s="1"/>
      <c r="K17" s="1"/>
    </row>
    <row r="18" spans="1:12" x14ac:dyDescent="0.2">
      <c r="A18" s="19">
        <v>44742</v>
      </c>
      <c r="B18" s="20" t="s">
        <v>9</v>
      </c>
      <c r="C18" s="21">
        <v>54</v>
      </c>
      <c r="D18" s="21">
        <v>0</v>
      </c>
      <c r="E18" s="22">
        <f t="shared" si="0"/>
        <v>13193</v>
      </c>
      <c r="H18" s="11"/>
      <c r="I18" s="1"/>
      <c r="J18" s="11"/>
      <c r="K18" s="11"/>
      <c r="L18" s="12"/>
    </row>
    <row r="19" spans="1:12" x14ac:dyDescent="0.2">
      <c r="A19" s="19">
        <v>44773</v>
      </c>
      <c r="B19" s="20" t="s">
        <v>9</v>
      </c>
      <c r="C19" s="21">
        <v>54</v>
      </c>
      <c r="D19" s="21">
        <v>0</v>
      </c>
      <c r="E19" s="22">
        <f t="shared" si="0"/>
        <v>13247</v>
      </c>
      <c r="G19" s="1"/>
      <c r="H19" s="1"/>
      <c r="I19" s="1"/>
      <c r="J19" s="1"/>
      <c r="K19" s="1"/>
      <c r="L19" s="1"/>
    </row>
    <row r="20" spans="1:12" x14ac:dyDescent="0.2">
      <c r="A20" s="19">
        <v>44804</v>
      </c>
      <c r="B20" s="20" t="s">
        <v>9</v>
      </c>
      <c r="C20" s="21">
        <v>54</v>
      </c>
      <c r="D20" s="21">
        <v>0</v>
      </c>
      <c r="E20" s="22">
        <f t="shared" si="0"/>
        <v>13301</v>
      </c>
      <c r="G20" s="6"/>
      <c r="H20" s="6"/>
      <c r="I20" s="6"/>
      <c r="J20" s="6"/>
      <c r="K20" s="6"/>
      <c r="L20" s="6"/>
    </row>
    <row r="21" spans="1:12" x14ac:dyDescent="0.2">
      <c r="A21" s="19">
        <v>44834</v>
      </c>
      <c r="B21" s="20" t="s">
        <v>9</v>
      </c>
      <c r="C21" s="21">
        <v>54</v>
      </c>
      <c r="D21" s="21">
        <v>0</v>
      </c>
      <c r="E21" s="22">
        <f t="shared" si="0"/>
        <v>13355</v>
      </c>
      <c r="G21" s="1"/>
      <c r="H21" s="1"/>
      <c r="I21" s="1"/>
      <c r="J21" s="1"/>
      <c r="K21" s="1"/>
      <c r="L21" s="1"/>
    </row>
    <row r="22" spans="1:12" x14ac:dyDescent="0.2">
      <c r="A22" s="19">
        <v>44865</v>
      </c>
      <c r="B22" s="20" t="s">
        <v>9</v>
      </c>
      <c r="C22" s="21">
        <v>54</v>
      </c>
      <c r="D22" s="21">
        <v>0</v>
      </c>
      <c r="E22" s="22">
        <f t="shared" si="0"/>
        <v>13409</v>
      </c>
      <c r="G22" s="11"/>
      <c r="H22" s="11"/>
      <c r="I22" s="11"/>
      <c r="J22" s="11"/>
      <c r="K22" s="11"/>
      <c r="L22" s="11"/>
    </row>
    <row r="23" spans="1:12" x14ac:dyDescent="0.2">
      <c r="A23" s="19">
        <v>44895</v>
      </c>
      <c r="B23" s="20" t="s">
        <v>9</v>
      </c>
      <c r="C23" s="21">
        <v>54</v>
      </c>
      <c r="D23" s="21">
        <v>0</v>
      </c>
      <c r="E23" s="22">
        <f t="shared" si="0"/>
        <v>13463</v>
      </c>
      <c r="G23" s="11"/>
      <c r="H23" s="11"/>
      <c r="I23" s="11"/>
      <c r="J23" s="11"/>
      <c r="K23" s="12"/>
    </row>
    <row r="24" spans="1:12" x14ac:dyDescent="0.2">
      <c r="A24" s="19">
        <v>44926</v>
      </c>
      <c r="B24" s="20" t="s">
        <v>9</v>
      </c>
      <c r="C24" s="21">
        <v>54</v>
      </c>
      <c r="D24" s="21">
        <v>0</v>
      </c>
      <c r="E24" s="22">
        <f t="shared" si="0"/>
        <v>13517</v>
      </c>
      <c r="G24" s="1"/>
      <c r="H24" s="1"/>
      <c r="I24" s="1"/>
      <c r="J24" s="1"/>
      <c r="K24" s="1"/>
    </row>
    <row r="25" spans="1:12" ht="13.5" thickBot="1" x14ac:dyDescent="0.25">
      <c r="A25" s="37">
        <v>44957</v>
      </c>
      <c r="B25" s="38" t="s">
        <v>9</v>
      </c>
      <c r="C25" s="39">
        <v>54</v>
      </c>
      <c r="D25" s="39">
        <v>0</v>
      </c>
      <c r="E25" s="40">
        <f t="shared" si="0"/>
        <v>13571</v>
      </c>
      <c r="G25" s="6"/>
      <c r="H25" s="1"/>
      <c r="I25" s="6"/>
      <c r="J25" s="6"/>
      <c r="K25" s="6"/>
    </row>
    <row r="26" spans="1:12" x14ac:dyDescent="0.2">
      <c r="A26" s="33">
        <v>44985</v>
      </c>
      <c r="B26" s="45" t="s">
        <v>9</v>
      </c>
      <c r="C26" s="35">
        <v>56</v>
      </c>
      <c r="D26" s="35">
        <v>0</v>
      </c>
      <c r="E26" s="36">
        <f t="shared" si="0"/>
        <v>13627</v>
      </c>
      <c r="G26" s="1"/>
      <c r="H26" s="6"/>
      <c r="I26" s="1"/>
      <c r="J26" s="1"/>
      <c r="K26" s="1"/>
    </row>
    <row r="27" spans="1:12" x14ac:dyDescent="0.2">
      <c r="A27" s="19">
        <v>45016</v>
      </c>
      <c r="B27" s="20" t="s">
        <v>9</v>
      </c>
      <c r="C27" s="21">
        <v>56</v>
      </c>
      <c r="D27" s="21">
        <v>0</v>
      </c>
      <c r="E27" s="22">
        <f t="shared" si="0"/>
        <v>13683</v>
      </c>
      <c r="G27" s="6"/>
      <c r="H27" s="1"/>
      <c r="I27" s="1"/>
      <c r="J27" s="1"/>
      <c r="K27" s="11"/>
    </row>
    <row r="28" spans="1:12" x14ac:dyDescent="0.2">
      <c r="A28" s="19">
        <v>45046</v>
      </c>
      <c r="B28" s="20" t="s">
        <v>9</v>
      </c>
      <c r="C28" s="21">
        <v>56</v>
      </c>
      <c r="D28" s="21">
        <v>0</v>
      </c>
      <c r="E28" s="22">
        <f t="shared" si="0"/>
        <v>13739</v>
      </c>
      <c r="G28" s="6"/>
      <c r="H28" s="6"/>
      <c r="I28" s="6"/>
      <c r="J28" s="6"/>
    </row>
    <row r="29" spans="1:12" x14ac:dyDescent="0.2">
      <c r="A29" s="19">
        <v>45077</v>
      </c>
      <c r="B29" s="20" t="s">
        <v>9</v>
      </c>
      <c r="C29" s="21">
        <v>56</v>
      </c>
      <c r="D29" s="21">
        <v>0</v>
      </c>
      <c r="E29" s="22">
        <f t="shared" si="0"/>
        <v>13795</v>
      </c>
      <c r="G29" s="1"/>
      <c r="H29" s="1"/>
      <c r="I29" s="1"/>
      <c r="J29" s="1"/>
    </row>
    <row r="30" spans="1:12" x14ac:dyDescent="0.2">
      <c r="A30" s="19">
        <v>45107</v>
      </c>
      <c r="B30" s="20" t="s">
        <v>9</v>
      </c>
      <c r="C30" s="21">
        <v>56</v>
      </c>
      <c r="D30" s="21">
        <v>0</v>
      </c>
      <c r="E30" s="22">
        <f t="shared" si="0"/>
        <v>13851</v>
      </c>
      <c r="G30" s="11"/>
      <c r="H30" s="11"/>
      <c r="I30" s="11"/>
      <c r="J30" s="11"/>
      <c r="K30" s="12"/>
    </row>
    <row r="31" spans="1:12" x14ac:dyDescent="0.2">
      <c r="A31" s="19">
        <v>45138</v>
      </c>
      <c r="B31" s="20" t="s">
        <v>9</v>
      </c>
      <c r="C31" s="21">
        <v>56</v>
      </c>
      <c r="D31" s="21">
        <v>0</v>
      </c>
      <c r="E31" s="22">
        <f t="shared" si="0"/>
        <v>13907</v>
      </c>
    </row>
    <row r="32" spans="1:12" x14ac:dyDescent="0.2">
      <c r="A32" s="19">
        <v>45169</v>
      </c>
      <c r="B32" s="20" t="s">
        <v>9</v>
      </c>
      <c r="C32" s="21">
        <v>56</v>
      </c>
      <c r="D32" s="21">
        <v>0</v>
      </c>
      <c r="E32" s="22">
        <f t="shared" si="0"/>
        <v>13963</v>
      </c>
      <c r="G32" s="1"/>
      <c r="H32" s="1"/>
    </row>
    <row r="33" spans="1:9" x14ac:dyDescent="0.2">
      <c r="A33" s="19">
        <v>45199</v>
      </c>
      <c r="B33" s="20" t="s">
        <v>9</v>
      </c>
      <c r="C33" s="21">
        <v>56</v>
      </c>
      <c r="D33" s="21">
        <v>0</v>
      </c>
      <c r="E33" s="22">
        <f t="shared" si="0"/>
        <v>14019</v>
      </c>
      <c r="G33" s="6"/>
      <c r="H33" s="13"/>
    </row>
    <row r="34" spans="1:9" x14ac:dyDescent="0.2">
      <c r="A34" s="19">
        <v>45230</v>
      </c>
      <c r="B34" s="20" t="s">
        <v>9</v>
      </c>
      <c r="C34" s="21">
        <v>56</v>
      </c>
      <c r="D34" s="21">
        <v>0</v>
      </c>
      <c r="E34" s="22">
        <f t="shared" si="0"/>
        <v>14075</v>
      </c>
      <c r="G34" s="1"/>
      <c r="H34" s="13"/>
    </row>
    <row r="35" spans="1:9" x14ac:dyDescent="0.2">
      <c r="A35" s="19">
        <v>45260</v>
      </c>
      <c r="B35" s="20" t="s">
        <v>9</v>
      </c>
      <c r="C35" s="21">
        <v>56</v>
      </c>
      <c r="D35" s="21">
        <v>0</v>
      </c>
      <c r="E35" s="22">
        <f t="shared" si="0"/>
        <v>14131</v>
      </c>
      <c r="G35" s="1"/>
      <c r="H35" s="1"/>
      <c r="I35" s="12"/>
    </row>
    <row r="36" spans="1:9" x14ac:dyDescent="0.2">
      <c r="A36" s="19">
        <v>45291</v>
      </c>
      <c r="B36" s="20" t="s">
        <v>9</v>
      </c>
      <c r="C36" s="21">
        <v>56</v>
      </c>
      <c r="D36" s="21">
        <v>0</v>
      </c>
      <c r="E36" s="22">
        <f t="shared" si="0"/>
        <v>14187</v>
      </c>
      <c r="G36" s="6"/>
      <c r="H36" s="6"/>
    </row>
    <row r="37" spans="1:9" ht="13.5" thickBot="1" x14ac:dyDescent="0.25">
      <c r="A37" s="37">
        <v>45322</v>
      </c>
      <c r="B37" s="38" t="s">
        <v>9</v>
      </c>
      <c r="C37" s="39">
        <v>56</v>
      </c>
      <c r="D37" s="39">
        <v>0</v>
      </c>
      <c r="E37" s="40">
        <f t="shared" si="0"/>
        <v>14243</v>
      </c>
      <c r="G37" s="1"/>
      <c r="H37" s="1"/>
    </row>
    <row r="38" spans="1:9" x14ac:dyDescent="0.2">
      <c r="A38" s="33">
        <v>45351</v>
      </c>
      <c r="B38" s="45" t="s">
        <v>9</v>
      </c>
      <c r="C38" s="35">
        <v>59</v>
      </c>
      <c r="D38" s="35">
        <v>0</v>
      </c>
      <c r="E38" s="36">
        <f t="shared" si="0"/>
        <v>14302</v>
      </c>
      <c r="G38" s="6"/>
      <c r="H38" s="6"/>
    </row>
    <row r="39" spans="1:9" x14ac:dyDescent="0.2">
      <c r="A39" s="19">
        <v>45382</v>
      </c>
      <c r="B39" s="20" t="s">
        <v>9</v>
      </c>
      <c r="C39" s="21">
        <v>59</v>
      </c>
      <c r="D39" s="21">
        <v>0</v>
      </c>
      <c r="E39" s="22">
        <f t="shared" si="0"/>
        <v>14361</v>
      </c>
      <c r="G39" s="1"/>
      <c r="H39" s="1"/>
    </row>
    <row r="40" spans="1:9" x14ac:dyDescent="0.2">
      <c r="A40" s="19">
        <v>45412</v>
      </c>
      <c r="B40" s="20" t="s">
        <v>9</v>
      </c>
      <c r="C40" s="21">
        <v>59</v>
      </c>
      <c r="D40" s="21">
        <v>0</v>
      </c>
      <c r="E40" s="22">
        <f t="shared" si="0"/>
        <v>14420</v>
      </c>
      <c r="G40" s="6"/>
      <c r="H40" s="11"/>
    </row>
    <row r="41" spans="1:9" x14ac:dyDescent="0.2">
      <c r="A41" s="19">
        <v>45443</v>
      </c>
      <c r="B41" s="20" t="s">
        <v>9</v>
      </c>
      <c r="C41" s="21">
        <v>59</v>
      </c>
      <c r="D41" s="21">
        <v>0</v>
      </c>
      <c r="E41" s="22">
        <f t="shared" si="0"/>
        <v>14479</v>
      </c>
      <c r="G41" s="1"/>
    </row>
    <row r="42" spans="1:9" x14ac:dyDescent="0.2">
      <c r="A42" s="19">
        <v>45473</v>
      </c>
      <c r="B42" s="20" t="s">
        <v>9</v>
      </c>
      <c r="C42" s="21">
        <v>59</v>
      </c>
      <c r="D42" s="21">
        <v>0</v>
      </c>
      <c r="E42" s="22">
        <f t="shared" si="0"/>
        <v>14538</v>
      </c>
      <c r="G42" s="11"/>
    </row>
    <row r="43" spans="1:9" x14ac:dyDescent="0.2">
      <c r="A43" s="19">
        <v>45504</v>
      </c>
      <c r="B43" s="20" t="s">
        <v>9</v>
      </c>
      <c r="C43" s="21">
        <v>59</v>
      </c>
      <c r="D43" s="21">
        <v>0</v>
      </c>
      <c r="E43" s="22">
        <f t="shared" si="0"/>
        <v>14597</v>
      </c>
    </row>
    <row r="44" spans="1:9" x14ac:dyDescent="0.2">
      <c r="A44" s="19">
        <v>45534</v>
      </c>
      <c r="B44" s="20" t="s">
        <v>9</v>
      </c>
      <c r="C44" s="21">
        <v>59</v>
      </c>
      <c r="D44" s="21">
        <v>0</v>
      </c>
      <c r="E44" s="22">
        <f t="shared" si="0"/>
        <v>14656</v>
      </c>
    </row>
    <row r="45" spans="1:9" x14ac:dyDescent="0.2">
      <c r="A45" s="19">
        <v>45565</v>
      </c>
      <c r="B45" s="20" t="s">
        <v>9</v>
      </c>
      <c r="C45" s="21">
        <v>59</v>
      </c>
      <c r="D45" s="21">
        <v>0</v>
      </c>
      <c r="E45" s="22">
        <f t="shared" si="0"/>
        <v>14715</v>
      </c>
    </row>
    <row r="46" spans="1:9" x14ac:dyDescent="0.2">
      <c r="A46" s="19">
        <v>45596</v>
      </c>
      <c r="B46" s="20" t="s">
        <v>9</v>
      </c>
      <c r="C46" s="21">
        <v>59</v>
      </c>
      <c r="D46" s="21">
        <v>0</v>
      </c>
      <c r="E46" s="22">
        <f t="shared" si="0"/>
        <v>14774</v>
      </c>
    </row>
    <row r="47" spans="1:9" x14ac:dyDescent="0.2">
      <c r="A47" s="46">
        <v>45626</v>
      </c>
      <c r="B47" s="20" t="s">
        <v>9</v>
      </c>
      <c r="C47" s="21">
        <v>59</v>
      </c>
      <c r="D47" s="21">
        <v>0</v>
      </c>
      <c r="E47" s="22">
        <f t="shared" si="0"/>
        <v>14833</v>
      </c>
    </row>
    <row r="48" spans="1:9" x14ac:dyDescent="0.2">
      <c r="A48" s="19">
        <v>45657</v>
      </c>
      <c r="B48" s="20" t="s">
        <v>9</v>
      </c>
      <c r="C48" s="21">
        <v>59</v>
      </c>
      <c r="D48" s="21">
        <v>0</v>
      </c>
      <c r="E48" s="22">
        <f t="shared" si="0"/>
        <v>14892</v>
      </c>
    </row>
    <row r="49" spans="1:8" ht="13.5" thickBot="1" x14ac:dyDescent="0.25">
      <c r="A49" s="37">
        <v>45688</v>
      </c>
      <c r="B49" s="38" t="s">
        <v>9</v>
      </c>
      <c r="C49" s="39">
        <v>59</v>
      </c>
      <c r="D49" s="39">
        <v>0</v>
      </c>
      <c r="E49" s="40">
        <f t="shared" si="0"/>
        <v>14951</v>
      </c>
    </row>
    <row r="50" spans="1:8" x14ac:dyDescent="0.2">
      <c r="A50" s="33">
        <v>45716</v>
      </c>
      <c r="B50" s="45" t="s">
        <v>9</v>
      </c>
      <c r="C50" s="35">
        <v>63</v>
      </c>
      <c r="D50" s="35">
        <v>0</v>
      </c>
      <c r="E50" s="36">
        <f t="shared" si="0"/>
        <v>15014</v>
      </c>
    </row>
    <row r="51" spans="1:8" x14ac:dyDescent="0.2">
      <c r="A51" s="19">
        <v>45747</v>
      </c>
      <c r="B51" s="20" t="s">
        <v>9</v>
      </c>
      <c r="C51" s="21">
        <v>63</v>
      </c>
      <c r="D51" s="21">
        <v>0</v>
      </c>
      <c r="E51" s="22">
        <f t="shared" si="0"/>
        <v>15077</v>
      </c>
    </row>
    <row r="52" spans="1:8" x14ac:dyDescent="0.2">
      <c r="A52" s="19">
        <v>45777</v>
      </c>
      <c r="B52" s="20" t="s">
        <v>9</v>
      </c>
      <c r="C52" s="21">
        <v>63</v>
      </c>
      <c r="D52" s="21">
        <v>0</v>
      </c>
      <c r="E52" s="22">
        <f t="shared" si="0"/>
        <v>15140</v>
      </c>
      <c r="G52" s="1"/>
      <c r="H52" s="1"/>
    </row>
    <row r="53" spans="1:8" x14ac:dyDescent="0.2">
      <c r="A53" s="19">
        <v>45807</v>
      </c>
      <c r="B53" s="20" t="s">
        <v>9</v>
      </c>
      <c r="C53" s="21">
        <v>63</v>
      </c>
      <c r="D53" s="21">
        <v>0</v>
      </c>
      <c r="E53" s="22">
        <f t="shared" si="0"/>
        <v>15203</v>
      </c>
    </row>
    <row r="54" spans="1:8" x14ac:dyDescent="0.2">
      <c r="A54" s="19">
        <v>45838</v>
      </c>
      <c r="B54" s="20" t="s">
        <v>9</v>
      </c>
      <c r="C54" s="21">
        <v>63</v>
      </c>
      <c r="D54" s="21">
        <v>0</v>
      </c>
      <c r="E54" s="22">
        <f t="shared" si="0"/>
        <v>15266</v>
      </c>
    </row>
    <row r="55" spans="1:8" x14ac:dyDescent="0.2">
      <c r="A55" s="19">
        <v>45869</v>
      </c>
      <c r="B55" s="20" t="s">
        <v>9</v>
      </c>
      <c r="C55" s="21">
        <v>63</v>
      </c>
      <c r="D55" s="21">
        <v>0</v>
      </c>
      <c r="E55" s="22">
        <f t="shared" si="0"/>
        <v>15329</v>
      </c>
    </row>
    <row r="56" spans="1:8" x14ac:dyDescent="0.2">
      <c r="A56" s="19">
        <v>45900</v>
      </c>
      <c r="B56" s="20" t="s">
        <v>9</v>
      </c>
      <c r="C56" s="21">
        <v>63</v>
      </c>
      <c r="D56" s="21">
        <v>0</v>
      </c>
      <c r="E56" s="22">
        <f t="shared" si="0"/>
        <v>15392</v>
      </c>
    </row>
    <row r="57" spans="1:8" x14ac:dyDescent="0.2">
      <c r="A57" s="19">
        <v>45930</v>
      </c>
      <c r="B57" s="20" t="s">
        <v>9</v>
      </c>
      <c r="C57" s="21">
        <v>63</v>
      </c>
      <c r="D57" s="21">
        <v>0</v>
      </c>
      <c r="E57" s="22">
        <f t="shared" si="0"/>
        <v>15455</v>
      </c>
    </row>
    <row r="58" spans="1:8" x14ac:dyDescent="0.2">
      <c r="A58" s="19">
        <v>45961</v>
      </c>
      <c r="B58" s="20" t="s">
        <v>9</v>
      </c>
      <c r="C58" s="21">
        <v>63</v>
      </c>
      <c r="D58" s="21">
        <v>0</v>
      </c>
      <c r="E58" s="22">
        <f t="shared" si="0"/>
        <v>15518</v>
      </c>
    </row>
    <row r="59" spans="1:8" x14ac:dyDescent="0.2">
      <c r="A59" s="19">
        <v>45991</v>
      </c>
      <c r="B59" s="20" t="s">
        <v>9</v>
      </c>
      <c r="C59" s="21">
        <v>63</v>
      </c>
      <c r="D59" s="21">
        <v>0</v>
      </c>
      <c r="E59" s="22">
        <f t="shared" si="0"/>
        <v>15581</v>
      </c>
    </row>
    <row r="60" spans="1:8" x14ac:dyDescent="0.2">
      <c r="A60" s="19">
        <v>46022</v>
      </c>
      <c r="B60" s="20" t="s">
        <v>9</v>
      </c>
      <c r="C60" s="21">
        <v>63</v>
      </c>
      <c r="D60" s="21">
        <v>0</v>
      </c>
      <c r="E60" s="22">
        <f t="shared" si="0"/>
        <v>15644</v>
      </c>
    </row>
    <row r="61" spans="1:8" ht="13.5" thickBot="1" x14ac:dyDescent="0.25">
      <c r="A61" s="37">
        <v>46053</v>
      </c>
      <c r="B61" s="38" t="s">
        <v>9</v>
      </c>
      <c r="C61" s="39">
        <v>63</v>
      </c>
      <c r="D61" s="39">
        <v>0</v>
      </c>
      <c r="E61" s="40">
        <f t="shared" si="0"/>
        <v>15707</v>
      </c>
    </row>
    <row r="62" spans="1:8" x14ac:dyDescent="0.2">
      <c r="A62" s="19">
        <v>46081</v>
      </c>
      <c r="B62" s="20" t="s">
        <v>9</v>
      </c>
      <c r="C62" s="21">
        <v>65</v>
      </c>
      <c r="D62" s="21">
        <v>0</v>
      </c>
      <c r="E62" s="22">
        <f t="shared" si="0"/>
        <v>15772</v>
      </c>
    </row>
    <row r="63" spans="1:8" x14ac:dyDescent="0.2">
      <c r="A63" s="19">
        <v>46112</v>
      </c>
      <c r="B63" s="20" t="s">
        <v>9</v>
      </c>
      <c r="C63" s="21">
        <v>65</v>
      </c>
      <c r="D63" s="21">
        <v>0</v>
      </c>
      <c r="E63" s="22">
        <f t="shared" si="0"/>
        <v>15837</v>
      </c>
    </row>
    <row r="64" spans="1:8" x14ac:dyDescent="0.2">
      <c r="A64" s="19">
        <v>46142</v>
      </c>
      <c r="B64" s="20" t="s">
        <v>9</v>
      </c>
      <c r="C64" s="21">
        <v>65</v>
      </c>
      <c r="D64" s="21">
        <v>0</v>
      </c>
      <c r="E64" s="22">
        <f t="shared" si="0"/>
        <v>15902</v>
      </c>
    </row>
    <row r="65" spans="1:5" x14ac:dyDescent="0.2">
      <c r="A65" s="19"/>
      <c r="B65" s="20"/>
      <c r="C65" s="21">
        <v>0</v>
      </c>
      <c r="D65" s="21">
        <v>0</v>
      </c>
      <c r="E65" s="22">
        <f t="shared" si="0"/>
        <v>15902</v>
      </c>
    </row>
    <row r="66" spans="1:5" x14ac:dyDescent="0.2">
      <c r="A66" s="19"/>
      <c r="B66" s="20"/>
      <c r="C66" s="21">
        <v>0</v>
      </c>
      <c r="D66" s="21">
        <v>0</v>
      </c>
      <c r="E66" s="22">
        <f t="shared" si="0"/>
        <v>15902</v>
      </c>
    </row>
    <row r="67" spans="1:5" x14ac:dyDescent="0.2">
      <c r="A67" s="19"/>
      <c r="B67" s="20"/>
      <c r="C67" s="21">
        <v>0</v>
      </c>
      <c r="D67" s="21">
        <v>0</v>
      </c>
      <c r="E67" s="22">
        <f t="shared" si="0"/>
        <v>15902</v>
      </c>
    </row>
    <row r="68" spans="1:5" x14ac:dyDescent="0.2">
      <c r="A68" s="19"/>
      <c r="B68" s="20"/>
      <c r="C68" s="21">
        <v>0</v>
      </c>
      <c r="D68" s="21">
        <v>0</v>
      </c>
      <c r="E68" s="22">
        <f t="shared" si="0"/>
        <v>15902</v>
      </c>
    </row>
    <row r="69" spans="1:5" x14ac:dyDescent="0.2">
      <c r="A69" s="19"/>
      <c r="B69" s="20"/>
      <c r="C69" s="21">
        <v>0</v>
      </c>
      <c r="D69" s="21">
        <v>0</v>
      </c>
      <c r="E69" s="22">
        <f t="shared" ref="E69:E132" si="1">SUM(E68+C69-D69)</f>
        <v>15902</v>
      </c>
    </row>
    <row r="70" spans="1:5" x14ac:dyDescent="0.2">
      <c r="A70" s="19"/>
      <c r="B70" s="20"/>
      <c r="C70" s="21">
        <v>0</v>
      </c>
      <c r="D70" s="21">
        <v>0</v>
      </c>
      <c r="E70" s="22">
        <f t="shared" si="1"/>
        <v>15902</v>
      </c>
    </row>
    <row r="71" spans="1:5" x14ac:dyDescent="0.2">
      <c r="A71" s="19"/>
      <c r="B71" s="20"/>
      <c r="C71" s="21">
        <v>0</v>
      </c>
      <c r="D71" s="21">
        <v>0</v>
      </c>
      <c r="E71" s="22">
        <f t="shared" si="1"/>
        <v>15902</v>
      </c>
    </row>
    <row r="72" spans="1:5" x14ac:dyDescent="0.2">
      <c r="A72" s="19"/>
      <c r="B72" s="20"/>
      <c r="C72" s="21">
        <v>0</v>
      </c>
      <c r="D72" s="21">
        <v>0</v>
      </c>
      <c r="E72" s="22">
        <f t="shared" si="1"/>
        <v>15902</v>
      </c>
    </row>
    <row r="73" spans="1:5" x14ac:dyDescent="0.2">
      <c r="A73" s="19"/>
      <c r="B73" s="20"/>
      <c r="C73" s="21">
        <v>0</v>
      </c>
      <c r="D73" s="21">
        <v>0</v>
      </c>
      <c r="E73" s="22">
        <f t="shared" si="1"/>
        <v>15902</v>
      </c>
    </row>
    <row r="74" spans="1:5" x14ac:dyDescent="0.2">
      <c r="A74" s="19"/>
      <c r="B74" s="20"/>
      <c r="C74" s="21">
        <v>0</v>
      </c>
      <c r="D74" s="21">
        <v>0</v>
      </c>
      <c r="E74" s="22">
        <f t="shared" si="1"/>
        <v>15902</v>
      </c>
    </row>
    <row r="75" spans="1:5" x14ac:dyDescent="0.2">
      <c r="A75" s="19"/>
      <c r="B75" s="20"/>
      <c r="C75" s="21">
        <v>0</v>
      </c>
      <c r="D75" s="21">
        <v>0</v>
      </c>
      <c r="E75" s="22">
        <f t="shared" si="1"/>
        <v>15902</v>
      </c>
    </row>
    <row r="76" spans="1:5" x14ac:dyDescent="0.2">
      <c r="A76" s="19"/>
      <c r="B76" s="20"/>
      <c r="C76" s="21">
        <v>0</v>
      </c>
      <c r="D76" s="21">
        <v>0</v>
      </c>
      <c r="E76" s="22">
        <f t="shared" si="1"/>
        <v>15902</v>
      </c>
    </row>
    <row r="77" spans="1:5" x14ac:dyDescent="0.2">
      <c r="A77" s="19"/>
      <c r="B77" s="20"/>
      <c r="C77" s="21">
        <v>0</v>
      </c>
      <c r="D77" s="21">
        <v>0</v>
      </c>
      <c r="E77" s="22">
        <f t="shared" si="1"/>
        <v>15902</v>
      </c>
    </row>
    <row r="78" spans="1:5" x14ac:dyDescent="0.2">
      <c r="A78" s="19"/>
      <c r="B78" s="20"/>
      <c r="C78" s="21">
        <v>0</v>
      </c>
      <c r="D78" s="21">
        <v>0</v>
      </c>
      <c r="E78" s="22">
        <f t="shared" si="1"/>
        <v>15902</v>
      </c>
    </row>
    <row r="79" spans="1:5" x14ac:dyDescent="0.2">
      <c r="A79" s="19"/>
      <c r="B79" s="20"/>
      <c r="C79" s="21">
        <v>0</v>
      </c>
      <c r="D79" s="21">
        <v>0</v>
      </c>
      <c r="E79" s="22">
        <f t="shared" si="1"/>
        <v>15902</v>
      </c>
    </row>
    <row r="80" spans="1:5" x14ac:dyDescent="0.2">
      <c r="A80" s="19"/>
      <c r="B80" s="20"/>
      <c r="C80" s="21">
        <v>0</v>
      </c>
      <c r="D80" s="21">
        <v>0</v>
      </c>
      <c r="E80" s="22">
        <f t="shared" si="1"/>
        <v>15902</v>
      </c>
    </row>
    <row r="81" spans="1:5" x14ac:dyDescent="0.2">
      <c r="A81" s="19"/>
      <c r="B81" s="20"/>
      <c r="C81" s="21">
        <v>0</v>
      </c>
      <c r="D81" s="21">
        <v>0</v>
      </c>
      <c r="E81" s="22">
        <f t="shared" si="1"/>
        <v>15902</v>
      </c>
    </row>
    <row r="82" spans="1:5" x14ac:dyDescent="0.2">
      <c r="A82" s="19"/>
      <c r="B82" s="20"/>
      <c r="C82" s="21">
        <v>0</v>
      </c>
      <c r="D82" s="21">
        <v>0</v>
      </c>
      <c r="E82" s="22">
        <f t="shared" si="1"/>
        <v>15902</v>
      </c>
    </row>
    <row r="83" spans="1:5" x14ac:dyDescent="0.2">
      <c r="A83" s="19"/>
      <c r="B83" s="20"/>
      <c r="C83" s="21">
        <v>0</v>
      </c>
      <c r="D83" s="21">
        <v>0</v>
      </c>
      <c r="E83" s="22">
        <f t="shared" si="1"/>
        <v>15902</v>
      </c>
    </row>
    <row r="84" spans="1:5" x14ac:dyDescent="0.2">
      <c r="A84" s="19"/>
      <c r="B84" s="20"/>
      <c r="C84" s="21">
        <v>0</v>
      </c>
      <c r="D84" s="21">
        <v>0</v>
      </c>
      <c r="E84" s="22">
        <f t="shared" si="1"/>
        <v>15902</v>
      </c>
    </row>
    <row r="85" spans="1:5" x14ac:dyDescent="0.2">
      <c r="A85" s="19"/>
      <c r="B85" s="20"/>
      <c r="C85" s="21">
        <v>0</v>
      </c>
      <c r="D85" s="21">
        <v>0</v>
      </c>
      <c r="E85" s="22">
        <f t="shared" si="1"/>
        <v>15902</v>
      </c>
    </row>
    <row r="86" spans="1:5" x14ac:dyDescent="0.2">
      <c r="A86" s="19"/>
      <c r="B86" s="20"/>
      <c r="C86" s="21">
        <v>0</v>
      </c>
      <c r="D86" s="21">
        <v>0</v>
      </c>
      <c r="E86" s="22">
        <f t="shared" si="1"/>
        <v>15902</v>
      </c>
    </row>
    <row r="87" spans="1:5" x14ac:dyDescent="0.2">
      <c r="A87" s="19"/>
      <c r="B87" s="20"/>
      <c r="C87" s="21">
        <v>0</v>
      </c>
      <c r="D87" s="21">
        <v>0</v>
      </c>
      <c r="E87" s="22">
        <f t="shared" si="1"/>
        <v>15902</v>
      </c>
    </row>
    <row r="88" spans="1:5" x14ac:dyDescent="0.2">
      <c r="A88" s="19"/>
      <c r="B88" s="20"/>
      <c r="C88" s="21">
        <v>0</v>
      </c>
      <c r="D88" s="21">
        <v>0</v>
      </c>
      <c r="E88" s="22">
        <f t="shared" si="1"/>
        <v>15902</v>
      </c>
    </row>
    <row r="89" spans="1:5" x14ac:dyDescent="0.2">
      <c r="A89" s="19"/>
      <c r="B89" s="20"/>
      <c r="C89" s="21">
        <v>0</v>
      </c>
      <c r="D89" s="21">
        <v>0</v>
      </c>
      <c r="E89" s="22">
        <f t="shared" si="1"/>
        <v>15902</v>
      </c>
    </row>
    <row r="90" spans="1:5" x14ac:dyDescent="0.2">
      <c r="A90" s="19"/>
      <c r="B90" s="20"/>
      <c r="C90" s="21">
        <v>0</v>
      </c>
      <c r="D90" s="21">
        <v>0</v>
      </c>
      <c r="E90" s="22">
        <f t="shared" si="1"/>
        <v>15902</v>
      </c>
    </row>
    <row r="91" spans="1:5" x14ac:dyDescent="0.2">
      <c r="A91" s="19"/>
      <c r="B91" s="20"/>
      <c r="C91" s="21">
        <v>0</v>
      </c>
      <c r="D91" s="21">
        <v>0</v>
      </c>
      <c r="E91" s="22">
        <f t="shared" si="1"/>
        <v>15902</v>
      </c>
    </row>
    <row r="92" spans="1:5" x14ac:dyDescent="0.2">
      <c r="A92" s="19"/>
      <c r="B92" s="20"/>
      <c r="C92" s="21">
        <v>0</v>
      </c>
      <c r="D92" s="21">
        <v>0</v>
      </c>
      <c r="E92" s="22">
        <f t="shared" si="1"/>
        <v>15902</v>
      </c>
    </row>
    <row r="93" spans="1:5" x14ac:dyDescent="0.2">
      <c r="A93" s="19"/>
      <c r="B93" s="20"/>
      <c r="C93" s="21">
        <v>0</v>
      </c>
      <c r="D93" s="21">
        <v>0</v>
      </c>
      <c r="E93" s="22">
        <f t="shared" si="1"/>
        <v>15902</v>
      </c>
    </row>
    <row r="94" spans="1:5" x14ac:dyDescent="0.2">
      <c r="A94" s="19"/>
      <c r="B94" s="20"/>
      <c r="C94" s="21">
        <v>0</v>
      </c>
      <c r="D94" s="21">
        <v>0</v>
      </c>
      <c r="E94" s="22">
        <f t="shared" si="1"/>
        <v>15902</v>
      </c>
    </row>
    <row r="95" spans="1:5" x14ac:dyDescent="0.2">
      <c r="A95" s="19"/>
      <c r="B95" s="20"/>
      <c r="C95" s="21">
        <v>0</v>
      </c>
      <c r="D95" s="21">
        <v>0</v>
      </c>
      <c r="E95" s="22">
        <f t="shared" si="1"/>
        <v>15902</v>
      </c>
    </row>
    <row r="96" spans="1:5" x14ac:dyDescent="0.2">
      <c r="A96" s="19"/>
      <c r="B96" s="20"/>
      <c r="C96" s="21">
        <v>0</v>
      </c>
      <c r="D96" s="21">
        <v>0</v>
      </c>
      <c r="E96" s="22">
        <f t="shared" si="1"/>
        <v>15902</v>
      </c>
    </row>
    <row r="97" spans="1:5" x14ac:dyDescent="0.2">
      <c r="A97" s="19"/>
      <c r="B97" s="20"/>
      <c r="C97" s="21">
        <v>0</v>
      </c>
      <c r="D97" s="21">
        <v>0</v>
      </c>
      <c r="E97" s="22">
        <f t="shared" si="1"/>
        <v>15902</v>
      </c>
    </row>
    <row r="98" spans="1:5" x14ac:dyDescent="0.2">
      <c r="A98" s="19"/>
      <c r="B98" s="20"/>
      <c r="C98" s="21">
        <v>0</v>
      </c>
      <c r="D98" s="21">
        <v>0</v>
      </c>
      <c r="E98" s="22">
        <f t="shared" si="1"/>
        <v>15902</v>
      </c>
    </row>
    <row r="99" spans="1:5" x14ac:dyDescent="0.2">
      <c r="A99" s="19"/>
      <c r="B99" s="20"/>
      <c r="C99" s="21">
        <v>0</v>
      </c>
      <c r="D99" s="21">
        <v>0</v>
      </c>
      <c r="E99" s="22">
        <f t="shared" si="1"/>
        <v>15902</v>
      </c>
    </row>
    <row r="100" spans="1:5" x14ac:dyDescent="0.2">
      <c r="A100" s="19"/>
      <c r="B100" s="20"/>
      <c r="C100" s="21">
        <v>0</v>
      </c>
      <c r="D100" s="21">
        <v>0</v>
      </c>
      <c r="E100" s="22">
        <f t="shared" si="1"/>
        <v>15902</v>
      </c>
    </row>
    <row r="101" spans="1:5" x14ac:dyDescent="0.2">
      <c r="A101" s="19"/>
      <c r="B101" s="20"/>
      <c r="C101" s="21">
        <v>0</v>
      </c>
      <c r="D101" s="21">
        <v>0</v>
      </c>
      <c r="E101" s="22">
        <f t="shared" si="1"/>
        <v>15902</v>
      </c>
    </row>
    <row r="102" spans="1:5" x14ac:dyDescent="0.2">
      <c r="A102" s="19"/>
      <c r="B102" s="20"/>
      <c r="C102" s="21">
        <v>0</v>
      </c>
      <c r="D102" s="21">
        <v>0</v>
      </c>
      <c r="E102" s="22">
        <f t="shared" si="1"/>
        <v>15902</v>
      </c>
    </row>
    <row r="103" spans="1:5" x14ac:dyDescent="0.2">
      <c r="A103" s="19"/>
      <c r="B103" s="20"/>
      <c r="C103" s="21">
        <v>0</v>
      </c>
      <c r="D103" s="21">
        <v>0</v>
      </c>
      <c r="E103" s="22">
        <f t="shared" si="1"/>
        <v>15902</v>
      </c>
    </row>
    <row r="104" spans="1:5" x14ac:dyDescent="0.2">
      <c r="A104" s="19"/>
      <c r="B104" s="20"/>
      <c r="C104" s="21">
        <v>0</v>
      </c>
      <c r="D104" s="21">
        <v>0</v>
      </c>
      <c r="E104" s="22">
        <f t="shared" si="1"/>
        <v>15902</v>
      </c>
    </row>
    <row r="105" spans="1:5" x14ac:dyDescent="0.2">
      <c r="A105" s="19"/>
      <c r="B105" s="20"/>
      <c r="C105" s="21">
        <v>0</v>
      </c>
      <c r="D105" s="21">
        <v>0</v>
      </c>
      <c r="E105" s="22">
        <f t="shared" si="1"/>
        <v>15902</v>
      </c>
    </row>
    <row r="106" spans="1:5" x14ac:dyDescent="0.2">
      <c r="A106" s="19"/>
      <c r="B106" s="20"/>
      <c r="C106" s="21">
        <v>0</v>
      </c>
      <c r="D106" s="21">
        <v>0</v>
      </c>
      <c r="E106" s="22">
        <f t="shared" si="1"/>
        <v>15902</v>
      </c>
    </row>
    <row r="107" spans="1:5" x14ac:dyDescent="0.2">
      <c r="A107" s="19"/>
      <c r="B107" s="20"/>
      <c r="C107" s="21">
        <v>0</v>
      </c>
      <c r="D107" s="21">
        <v>0</v>
      </c>
      <c r="E107" s="22">
        <f t="shared" si="1"/>
        <v>15902</v>
      </c>
    </row>
    <row r="108" spans="1:5" x14ac:dyDescent="0.2">
      <c r="A108" s="19"/>
      <c r="B108" s="20"/>
      <c r="C108" s="21">
        <v>0</v>
      </c>
      <c r="D108" s="21">
        <v>0</v>
      </c>
      <c r="E108" s="22">
        <f t="shared" si="1"/>
        <v>15902</v>
      </c>
    </row>
    <row r="109" spans="1:5" x14ac:dyDescent="0.2">
      <c r="A109" s="19"/>
      <c r="B109" s="20"/>
      <c r="C109" s="21">
        <v>0</v>
      </c>
      <c r="D109" s="21">
        <v>0</v>
      </c>
      <c r="E109" s="22">
        <f t="shared" si="1"/>
        <v>15902</v>
      </c>
    </row>
    <row r="110" spans="1:5" x14ac:dyDescent="0.2">
      <c r="A110" s="19"/>
      <c r="B110" s="20"/>
      <c r="C110" s="21">
        <v>0</v>
      </c>
      <c r="D110" s="21">
        <v>0</v>
      </c>
      <c r="E110" s="22">
        <f t="shared" si="1"/>
        <v>15902</v>
      </c>
    </row>
    <row r="111" spans="1:5" x14ac:dyDescent="0.2">
      <c r="A111" s="19"/>
      <c r="B111" s="20"/>
      <c r="C111" s="21">
        <v>0</v>
      </c>
      <c r="D111" s="21">
        <v>0</v>
      </c>
      <c r="E111" s="22">
        <f t="shared" si="1"/>
        <v>15902</v>
      </c>
    </row>
    <row r="112" spans="1:5" x14ac:dyDescent="0.2">
      <c r="A112" s="19"/>
      <c r="B112" s="20"/>
      <c r="C112" s="21">
        <v>0</v>
      </c>
      <c r="D112" s="21">
        <v>0</v>
      </c>
      <c r="E112" s="22">
        <f t="shared" si="1"/>
        <v>15902</v>
      </c>
    </row>
    <row r="113" spans="1:5" x14ac:dyDescent="0.2">
      <c r="A113" s="19"/>
      <c r="B113" s="20"/>
      <c r="C113" s="21">
        <v>0</v>
      </c>
      <c r="D113" s="21">
        <v>0</v>
      </c>
      <c r="E113" s="22">
        <f t="shared" si="1"/>
        <v>15902</v>
      </c>
    </row>
    <row r="114" spans="1:5" x14ac:dyDescent="0.2">
      <c r="A114" s="19"/>
      <c r="B114" s="20"/>
      <c r="C114" s="21">
        <v>0</v>
      </c>
      <c r="D114" s="21">
        <v>0</v>
      </c>
      <c r="E114" s="22">
        <f t="shared" si="1"/>
        <v>15902</v>
      </c>
    </row>
    <row r="115" spans="1:5" x14ac:dyDescent="0.2">
      <c r="A115" s="19"/>
      <c r="B115" s="20"/>
      <c r="C115" s="21">
        <v>0</v>
      </c>
      <c r="D115" s="21">
        <v>0</v>
      </c>
      <c r="E115" s="22">
        <f t="shared" si="1"/>
        <v>15902</v>
      </c>
    </row>
    <row r="116" spans="1:5" x14ac:dyDescent="0.2">
      <c r="A116" s="19"/>
      <c r="B116" s="20"/>
      <c r="C116" s="21">
        <v>0</v>
      </c>
      <c r="D116" s="21">
        <v>0</v>
      </c>
      <c r="E116" s="22">
        <f t="shared" si="1"/>
        <v>15902</v>
      </c>
    </row>
    <row r="117" spans="1:5" x14ac:dyDescent="0.2">
      <c r="A117" s="19"/>
      <c r="B117" s="20"/>
      <c r="C117" s="21">
        <v>0</v>
      </c>
      <c r="D117" s="21">
        <v>0</v>
      </c>
      <c r="E117" s="22">
        <f t="shared" si="1"/>
        <v>15902</v>
      </c>
    </row>
    <row r="118" spans="1:5" x14ac:dyDescent="0.2">
      <c r="A118" s="19"/>
      <c r="B118" s="20"/>
      <c r="C118" s="21">
        <v>0</v>
      </c>
      <c r="D118" s="21">
        <v>0</v>
      </c>
      <c r="E118" s="22">
        <f t="shared" si="1"/>
        <v>15902</v>
      </c>
    </row>
    <row r="119" spans="1:5" x14ac:dyDescent="0.2">
      <c r="A119" s="19"/>
      <c r="B119" s="20"/>
      <c r="C119" s="21">
        <v>0</v>
      </c>
      <c r="D119" s="21">
        <v>0</v>
      </c>
      <c r="E119" s="22">
        <f t="shared" si="1"/>
        <v>15902</v>
      </c>
    </row>
    <row r="120" spans="1:5" x14ac:dyDescent="0.2">
      <c r="A120" s="19"/>
      <c r="B120" s="20"/>
      <c r="C120" s="21">
        <v>0</v>
      </c>
      <c r="D120" s="21">
        <v>0</v>
      </c>
      <c r="E120" s="22">
        <f t="shared" si="1"/>
        <v>15902</v>
      </c>
    </row>
    <row r="121" spans="1:5" x14ac:dyDescent="0.2">
      <c r="A121" s="19"/>
      <c r="B121" s="20"/>
      <c r="C121" s="21">
        <v>0</v>
      </c>
      <c r="D121" s="21">
        <v>0</v>
      </c>
      <c r="E121" s="22">
        <f t="shared" si="1"/>
        <v>15902</v>
      </c>
    </row>
    <row r="122" spans="1:5" x14ac:dyDescent="0.2">
      <c r="A122" s="19"/>
      <c r="B122" s="20"/>
      <c r="C122" s="21">
        <v>0</v>
      </c>
      <c r="D122" s="21">
        <v>0</v>
      </c>
      <c r="E122" s="22">
        <f t="shared" si="1"/>
        <v>15902</v>
      </c>
    </row>
    <row r="123" spans="1:5" x14ac:dyDescent="0.2">
      <c r="A123" s="19"/>
      <c r="B123" s="20"/>
      <c r="C123" s="21">
        <v>0</v>
      </c>
      <c r="D123" s="21">
        <v>0</v>
      </c>
      <c r="E123" s="22">
        <f t="shared" si="1"/>
        <v>15902</v>
      </c>
    </row>
    <row r="124" spans="1:5" x14ac:dyDescent="0.2">
      <c r="A124" s="19"/>
      <c r="B124" s="20"/>
      <c r="C124" s="21">
        <v>0</v>
      </c>
      <c r="D124" s="21">
        <v>0</v>
      </c>
      <c r="E124" s="22">
        <f t="shared" si="1"/>
        <v>15902</v>
      </c>
    </row>
    <row r="125" spans="1:5" x14ac:dyDescent="0.2">
      <c r="A125" s="19"/>
      <c r="B125" s="20"/>
      <c r="C125" s="21">
        <v>0</v>
      </c>
      <c r="D125" s="21">
        <v>0</v>
      </c>
      <c r="E125" s="22">
        <f t="shared" si="1"/>
        <v>15902</v>
      </c>
    </row>
    <row r="126" spans="1:5" x14ac:dyDescent="0.2">
      <c r="A126" s="19"/>
      <c r="B126" s="20"/>
      <c r="C126" s="21">
        <v>0</v>
      </c>
      <c r="D126" s="21">
        <v>0</v>
      </c>
      <c r="E126" s="22">
        <f t="shared" si="1"/>
        <v>15902</v>
      </c>
    </row>
    <row r="127" spans="1:5" x14ac:dyDescent="0.2">
      <c r="A127" s="19"/>
      <c r="B127" s="20"/>
      <c r="C127" s="21">
        <v>0</v>
      </c>
      <c r="D127" s="21">
        <v>0</v>
      </c>
      <c r="E127" s="22">
        <f t="shared" si="1"/>
        <v>15902</v>
      </c>
    </row>
    <row r="128" spans="1:5" x14ac:dyDescent="0.2">
      <c r="A128" s="19"/>
      <c r="B128" s="20"/>
      <c r="C128" s="21">
        <v>0</v>
      </c>
      <c r="D128" s="21">
        <v>0</v>
      </c>
      <c r="E128" s="22">
        <f t="shared" si="1"/>
        <v>15902</v>
      </c>
    </row>
    <row r="129" spans="1:5" x14ac:dyDescent="0.2">
      <c r="A129" s="19"/>
      <c r="B129" s="20"/>
      <c r="C129" s="21">
        <v>0</v>
      </c>
      <c r="D129" s="21">
        <v>0</v>
      </c>
      <c r="E129" s="22">
        <f t="shared" si="1"/>
        <v>15902</v>
      </c>
    </row>
    <row r="130" spans="1:5" x14ac:dyDescent="0.2">
      <c r="A130" s="19"/>
      <c r="B130" s="20"/>
      <c r="C130" s="21">
        <v>0</v>
      </c>
      <c r="D130" s="21">
        <v>0</v>
      </c>
      <c r="E130" s="22">
        <f t="shared" si="1"/>
        <v>15902</v>
      </c>
    </row>
    <row r="131" spans="1:5" x14ac:dyDescent="0.2">
      <c r="A131" s="19"/>
      <c r="B131" s="20"/>
      <c r="C131" s="21">
        <v>0</v>
      </c>
      <c r="D131" s="21">
        <v>0</v>
      </c>
      <c r="E131" s="22">
        <f t="shared" si="1"/>
        <v>15902</v>
      </c>
    </row>
    <row r="132" spans="1:5" x14ac:dyDescent="0.2">
      <c r="A132" s="19"/>
      <c r="B132" s="20"/>
      <c r="C132" s="21">
        <v>0</v>
      </c>
      <c r="D132" s="21">
        <v>0</v>
      </c>
      <c r="E132" s="22">
        <f t="shared" si="1"/>
        <v>15902</v>
      </c>
    </row>
    <row r="133" spans="1:5" x14ac:dyDescent="0.2">
      <c r="A133" s="19"/>
      <c r="B133" s="20"/>
      <c r="C133" s="21">
        <v>0</v>
      </c>
      <c r="D133" s="21">
        <v>0</v>
      </c>
      <c r="E133" s="22">
        <f t="shared" ref="E133:E140" si="2">SUM(E132+C133-D133)</f>
        <v>15902</v>
      </c>
    </row>
    <row r="134" spans="1:5" x14ac:dyDescent="0.2">
      <c r="A134" s="19"/>
      <c r="B134" s="20"/>
      <c r="C134" s="21">
        <v>0</v>
      </c>
      <c r="D134" s="21">
        <v>0</v>
      </c>
      <c r="E134" s="22">
        <f t="shared" si="2"/>
        <v>15902</v>
      </c>
    </row>
    <row r="135" spans="1:5" x14ac:dyDescent="0.2">
      <c r="A135" s="19"/>
      <c r="B135" s="20"/>
      <c r="C135" s="21">
        <v>0</v>
      </c>
      <c r="D135" s="21">
        <v>0</v>
      </c>
      <c r="E135" s="22">
        <f t="shared" si="2"/>
        <v>15902</v>
      </c>
    </row>
    <row r="136" spans="1:5" x14ac:dyDescent="0.2">
      <c r="A136" s="19"/>
      <c r="B136" s="20"/>
      <c r="C136" s="21">
        <v>0</v>
      </c>
      <c r="D136" s="21">
        <v>0</v>
      </c>
      <c r="E136" s="22">
        <f t="shared" si="2"/>
        <v>15902</v>
      </c>
    </row>
    <row r="137" spans="1:5" x14ac:dyDescent="0.2">
      <c r="A137" s="19"/>
      <c r="B137" s="20"/>
      <c r="C137" s="21">
        <v>0</v>
      </c>
      <c r="D137" s="21">
        <v>0</v>
      </c>
      <c r="E137" s="22">
        <f t="shared" si="2"/>
        <v>15902</v>
      </c>
    </row>
    <row r="138" spans="1:5" x14ac:dyDescent="0.2">
      <c r="A138" s="19"/>
      <c r="B138" s="20"/>
      <c r="C138" s="21">
        <v>0</v>
      </c>
      <c r="D138" s="21">
        <v>0</v>
      </c>
      <c r="E138" s="22">
        <f t="shared" si="2"/>
        <v>15902</v>
      </c>
    </row>
    <row r="139" spans="1:5" x14ac:dyDescent="0.2">
      <c r="A139" s="19"/>
      <c r="B139" s="20"/>
      <c r="C139" s="21">
        <v>0</v>
      </c>
      <c r="D139" s="21">
        <v>0</v>
      </c>
      <c r="E139" s="22">
        <f t="shared" si="2"/>
        <v>15902</v>
      </c>
    </row>
    <row r="140" spans="1:5" x14ac:dyDescent="0.2">
      <c r="A140" s="19"/>
      <c r="B140" s="20"/>
      <c r="C140" s="21">
        <v>0</v>
      </c>
      <c r="D140" s="21">
        <v>0</v>
      </c>
      <c r="E140" s="22">
        <f t="shared" si="2"/>
        <v>15902</v>
      </c>
    </row>
  </sheetData>
  <mergeCells count="1">
    <mergeCell ref="A1:E1"/>
  </mergeCell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9BC6-B787-4A12-94AB-15E203D1F1E4}">
  <sheetPr>
    <pageSetUpPr fitToPage="1"/>
  </sheetPr>
  <dimension ref="A1:M140"/>
  <sheetViews>
    <sheetView zoomScaleNormal="100" workbookViewId="0">
      <pane ySplit="3" topLeftCell="A33" activePane="bottomLeft" state="frozen"/>
      <selection pane="bottomLeft" activeCell="H3" sqref="H3"/>
    </sheetView>
  </sheetViews>
  <sheetFormatPr baseColWidth="10" defaultColWidth="9.140625" defaultRowHeight="12.75" x14ac:dyDescent="0.2"/>
  <cols>
    <col min="1" max="1" width="10.42578125" bestFit="1" customWidth="1"/>
    <col min="2" max="2" width="44.28515625" customWidth="1"/>
    <col min="3" max="3" width="10.140625" bestFit="1" customWidth="1"/>
    <col min="4" max="4" width="9.140625" customWidth="1"/>
    <col min="5" max="5" width="10.42578125" bestFit="1" customWidth="1"/>
    <col min="7" max="7" width="11.140625" bestFit="1" customWidth="1"/>
    <col min="8" max="10" width="10.140625" bestFit="1" customWidth="1"/>
    <col min="11" max="11" width="10.85546875" bestFit="1" customWidth="1"/>
    <col min="12" max="13" width="11.140625" bestFit="1" customWidth="1"/>
  </cols>
  <sheetData>
    <row r="1" spans="1:13" ht="16.5" thickBot="1" x14ac:dyDescent="0.3">
      <c r="A1" s="48" t="s">
        <v>7</v>
      </c>
      <c r="B1" s="48"/>
      <c r="C1" s="48"/>
      <c r="D1" s="48"/>
      <c r="E1" s="48"/>
    </row>
    <row r="2" spans="1:13" ht="13.5" thickBot="1" x14ac:dyDescent="0.25">
      <c r="A2" s="4" t="s">
        <v>5</v>
      </c>
      <c r="B2" s="8"/>
      <c r="C2" s="5"/>
      <c r="D2" s="5"/>
      <c r="E2" s="23">
        <v>0.05</v>
      </c>
      <c r="G2" t="s">
        <v>8</v>
      </c>
      <c r="H2" s="24">
        <v>46515</v>
      </c>
      <c r="I2" s="24"/>
      <c r="J2" s="24"/>
      <c r="K2" s="24"/>
    </row>
    <row r="3" spans="1:13" ht="15.75" x14ac:dyDescent="0.25">
      <c r="A3" s="15" t="s">
        <v>2</v>
      </c>
      <c r="B3" s="16" t="s">
        <v>3</v>
      </c>
      <c r="C3" s="17" t="s">
        <v>0</v>
      </c>
      <c r="D3" s="17" t="s">
        <v>1</v>
      </c>
      <c r="E3" s="18" t="s">
        <v>4</v>
      </c>
    </row>
    <row r="4" spans="1:13" ht="13.5" thickBot="1" x14ac:dyDescent="0.25">
      <c r="A4" s="41">
        <v>44324</v>
      </c>
      <c r="B4" s="42" t="s">
        <v>6</v>
      </c>
      <c r="C4" s="43">
        <v>12500</v>
      </c>
      <c r="D4" s="43">
        <v>0</v>
      </c>
      <c r="E4" s="44">
        <v>12500</v>
      </c>
      <c r="H4" s="10"/>
    </row>
    <row r="5" spans="1:13" x14ac:dyDescent="0.2">
      <c r="A5" s="33">
        <v>44347</v>
      </c>
      <c r="B5" s="45" t="s">
        <v>9</v>
      </c>
      <c r="C5" s="35">
        <v>53</v>
      </c>
      <c r="D5" s="35">
        <v>0</v>
      </c>
      <c r="E5" s="36">
        <f t="shared" ref="E5:E68" si="0">SUM(E4+C5-D5)</f>
        <v>12553</v>
      </c>
      <c r="G5" s="1"/>
      <c r="I5" s="1"/>
      <c r="J5" s="1"/>
      <c r="K5" s="1"/>
    </row>
    <row r="6" spans="1:13" x14ac:dyDescent="0.2">
      <c r="A6" s="19">
        <v>44377</v>
      </c>
      <c r="B6" s="20" t="s">
        <v>9</v>
      </c>
      <c r="C6" s="21">
        <v>53</v>
      </c>
      <c r="D6" s="21">
        <v>0</v>
      </c>
      <c r="E6" s="22">
        <f t="shared" si="0"/>
        <v>12606</v>
      </c>
      <c r="F6">
        <f>-E4*E2</f>
        <v>-625</v>
      </c>
      <c r="G6" s="6">
        <f>+F6/12</f>
        <v>-52.083333333333336</v>
      </c>
      <c r="H6" s="1"/>
      <c r="I6" s="6"/>
      <c r="J6" s="6"/>
      <c r="K6" s="6"/>
    </row>
    <row r="7" spans="1:13" x14ac:dyDescent="0.2">
      <c r="A7" s="19">
        <v>44408</v>
      </c>
      <c r="B7" s="20" t="s">
        <v>9</v>
      </c>
      <c r="C7" s="21">
        <v>53</v>
      </c>
      <c r="D7" s="21">
        <v>0</v>
      </c>
      <c r="E7" s="22">
        <f t="shared" si="0"/>
        <v>12659</v>
      </c>
      <c r="F7" s="1">
        <f>+E4+625</f>
        <v>13125</v>
      </c>
      <c r="G7" s="1">
        <f>+E16-F7</f>
        <v>11</v>
      </c>
      <c r="H7" s="1"/>
      <c r="I7" s="1"/>
      <c r="J7" s="1"/>
      <c r="K7" s="1"/>
    </row>
    <row r="8" spans="1:13" x14ac:dyDescent="0.2">
      <c r="A8" s="19">
        <v>44439</v>
      </c>
      <c r="B8" s="20" t="s">
        <v>9</v>
      </c>
      <c r="C8" s="21">
        <v>53</v>
      </c>
      <c r="D8" s="21">
        <v>0</v>
      </c>
      <c r="E8" s="22">
        <f t="shared" si="0"/>
        <v>12712</v>
      </c>
      <c r="G8" s="1"/>
      <c r="H8" s="7"/>
      <c r="I8" s="7"/>
      <c r="J8" s="7"/>
      <c r="K8" s="7"/>
      <c r="L8" s="10"/>
    </row>
    <row r="9" spans="1:13" x14ac:dyDescent="0.2">
      <c r="A9" s="19">
        <v>44469</v>
      </c>
      <c r="B9" s="20" t="s">
        <v>9</v>
      </c>
      <c r="C9" s="21">
        <v>53</v>
      </c>
      <c r="D9" s="21">
        <v>0</v>
      </c>
      <c r="E9" s="22">
        <f t="shared" si="0"/>
        <v>12765</v>
      </c>
      <c r="G9" s="1"/>
    </row>
    <row r="10" spans="1:13" x14ac:dyDescent="0.2">
      <c r="A10" s="19">
        <v>44500</v>
      </c>
      <c r="B10" s="20" t="s">
        <v>9</v>
      </c>
      <c r="C10" s="21">
        <v>53</v>
      </c>
      <c r="D10" s="21">
        <v>0</v>
      </c>
      <c r="E10" s="22">
        <f t="shared" si="0"/>
        <v>12818</v>
      </c>
      <c r="G10" s="1"/>
      <c r="H10" s="1"/>
      <c r="I10" s="1"/>
      <c r="J10" s="1"/>
      <c r="K10" s="1"/>
      <c r="L10" s="1"/>
    </row>
    <row r="11" spans="1:13" x14ac:dyDescent="0.2">
      <c r="A11" s="19">
        <v>44530</v>
      </c>
      <c r="B11" s="20" t="s">
        <v>9</v>
      </c>
      <c r="C11" s="21">
        <v>53</v>
      </c>
      <c r="D11" s="21">
        <v>0</v>
      </c>
      <c r="E11" s="22">
        <f t="shared" si="0"/>
        <v>12871</v>
      </c>
      <c r="G11" s="6"/>
      <c r="H11" s="6"/>
      <c r="I11" s="6"/>
      <c r="J11" s="6"/>
      <c r="K11" s="6"/>
      <c r="L11" s="6"/>
    </row>
    <row r="12" spans="1:13" x14ac:dyDescent="0.2">
      <c r="A12" s="19">
        <v>44561</v>
      </c>
      <c r="B12" s="20" t="s">
        <v>9</v>
      </c>
      <c r="C12" s="21">
        <v>53</v>
      </c>
      <c r="D12" s="21">
        <v>0</v>
      </c>
      <c r="E12" s="22">
        <f t="shared" si="0"/>
        <v>12924</v>
      </c>
      <c r="G12" s="1"/>
      <c r="H12" s="1"/>
      <c r="I12" s="1"/>
      <c r="J12" s="1"/>
      <c r="K12" s="1"/>
      <c r="L12" s="1"/>
    </row>
    <row r="13" spans="1:13" x14ac:dyDescent="0.2">
      <c r="A13" s="19">
        <v>44592</v>
      </c>
      <c r="B13" s="20" t="s">
        <v>9</v>
      </c>
      <c r="C13" s="21">
        <v>53</v>
      </c>
      <c r="D13" s="21">
        <v>0</v>
      </c>
      <c r="E13" s="22">
        <f t="shared" si="0"/>
        <v>12977</v>
      </c>
      <c r="G13" s="11"/>
      <c r="H13" s="11"/>
      <c r="I13" s="11"/>
      <c r="J13" s="11"/>
      <c r="K13" s="11"/>
      <c r="L13" s="7"/>
      <c r="M13" s="10"/>
    </row>
    <row r="14" spans="1:13" x14ac:dyDescent="0.2">
      <c r="A14" s="19">
        <v>44620</v>
      </c>
      <c r="B14" s="20" t="s">
        <v>9</v>
      </c>
      <c r="C14" s="21">
        <v>53</v>
      </c>
      <c r="D14" s="21">
        <v>0</v>
      </c>
      <c r="E14" s="22">
        <f t="shared" si="0"/>
        <v>13030</v>
      </c>
    </row>
    <row r="15" spans="1:13" x14ac:dyDescent="0.2">
      <c r="A15" s="19">
        <v>44651</v>
      </c>
      <c r="B15" s="20" t="s">
        <v>9</v>
      </c>
      <c r="C15" s="21">
        <v>53</v>
      </c>
      <c r="D15" s="21">
        <v>0</v>
      </c>
      <c r="E15" s="22">
        <f t="shared" si="0"/>
        <v>13083</v>
      </c>
      <c r="H15" s="1"/>
      <c r="I15" s="1"/>
      <c r="J15" s="1"/>
      <c r="K15" s="1"/>
    </row>
    <row r="16" spans="1:13" ht="13.5" thickBot="1" x14ac:dyDescent="0.25">
      <c r="A16" s="37">
        <v>44681</v>
      </c>
      <c r="B16" s="38" t="s">
        <v>9</v>
      </c>
      <c r="C16" s="39">
        <v>53</v>
      </c>
      <c r="D16" s="39">
        <v>0</v>
      </c>
      <c r="E16" s="40">
        <f t="shared" si="0"/>
        <v>13136</v>
      </c>
      <c r="H16" s="6"/>
      <c r="I16" s="1"/>
      <c r="J16" s="6"/>
      <c r="K16" s="6"/>
    </row>
    <row r="17" spans="1:12" x14ac:dyDescent="0.2">
      <c r="A17" s="33">
        <v>44712</v>
      </c>
      <c r="B17" s="45" t="s">
        <v>10</v>
      </c>
      <c r="C17" s="35">
        <v>0</v>
      </c>
      <c r="D17" s="35">
        <v>11</v>
      </c>
      <c r="E17" s="36">
        <f t="shared" si="0"/>
        <v>13125</v>
      </c>
      <c r="H17" s="1"/>
      <c r="I17" s="1"/>
      <c r="J17" s="1"/>
      <c r="K17" s="1"/>
    </row>
    <row r="18" spans="1:12" x14ac:dyDescent="0.2">
      <c r="A18" s="19">
        <v>44711</v>
      </c>
      <c r="B18" s="20" t="s">
        <v>9</v>
      </c>
      <c r="C18" s="21">
        <v>55</v>
      </c>
      <c r="D18" s="21">
        <v>0</v>
      </c>
      <c r="E18" s="22">
        <f t="shared" si="0"/>
        <v>13180</v>
      </c>
      <c r="F18">
        <f>-E16*$E$2</f>
        <v>-656.80000000000007</v>
      </c>
      <c r="G18" s="6">
        <f>+F18/12</f>
        <v>-54.733333333333341</v>
      </c>
      <c r="H18" s="11"/>
      <c r="I18" s="1"/>
      <c r="J18" s="11"/>
      <c r="K18" s="11"/>
      <c r="L18" s="12"/>
    </row>
    <row r="19" spans="1:12" x14ac:dyDescent="0.2">
      <c r="A19" s="19">
        <v>44742</v>
      </c>
      <c r="B19" s="20" t="s">
        <v>9</v>
      </c>
      <c r="C19" s="21">
        <v>55</v>
      </c>
      <c r="D19" s="21">
        <v>0</v>
      </c>
      <c r="E19" s="22">
        <f t="shared" si="0"/>
        <v>13235</v>
      </c>
      <c r="F19" s="1">
        <f>+E16+(F18*-1)</f>
        <v>13792.8</v>
      </c>
      <c r="G19" s="1">
        <f>+F19-E140</f>
        <v>-2152.2000000000007</v>
      </c>
      <c r="H19" s="1"/>
      <c r="I19" s="1"/>
      <c r="J19" s="1"/>
      <c r="K19" s="1"/>
      <c r="L19" s="1"/>
    </row>
    <row r="20" spans="1:12" x14ac:dyDescent="0.2">
      <c r="A20" s="19">
        <v>44773</v>
      </c>
      <c r="B20" s="20" t="s">
        <v>9</v>
      </c>
      <c r="C20" s="21">
        <v>55</v>
      </c>
      <c r="D20" s="21">
        <v>0</v>
      </c>
      <c r="E20" s="22">
        <f t="shared" si="0"/>
        <v>13290</v>
      </c>
      <c r="G20" s="1"/>
      <c r="H20" s="6"/>
      <c r="I20" s="6"/>
      <c r="J20" s="6"/>
      <c r="K20" s="6"/>
      <c r="L20" s="6"/>
    </row>
    <row r="21" spans="1:12" x14ac:dyDescent="0.2">
      <c r="A21" s="19">
        <v>44804</v>
      </c>
      <c r="B21" s="20" t="s">
        <v>9</v>
      </c>
      <c r="C21" s="21">
        <v>55</v>
      </c>
      <c r="D21" s="21">
        <v>0</v>
      </c>
      <c r="E21" s="22">
        <f t="shared" si="0"/>
        <v>13345</v>
      </c>
      <c r="G21" s="1"/>
      <c r="H21" s="1"/>
      <c r="I21" s="1"/>
      <c r="J21" s="1"/>
      <c r="K21" s="1"/>
      <c r="L21" s="1"/>
    </row>
    <row r="22" spans="1:12" x14ac:dyDescent="0.2">
      <c r="A22" s="19">
        <v>44834</v>
      </c>
      <c r="B22" s="20" t="s">
        <v>9</v>
      </c>
      <c r="C22" s="21">
        <v>55</v>
      </c>
      <c r="D22" s="21">
        <v>0</v>
      </c>
      <c r="E22" s="22">
        <f t="shared" si="0"/>
        <v>13400</v>
      </c>
      <c r="G22" s="11"/>
      <c r="H22" s="11"/>
      <c r="I22" s="11"/>
      <c r="J22" s="11"/>
      <c r="K22" s="11"/>
      <c r="L22" s="11"/>
    </row>
    <row r="23" spans="1:12" x14ac:dyDescent="0.2">
      <c r="A23" s="19">
        <v>44865</v>
      </c>
      <c r="B23" s="20" t="s">
        <v>9</v>
      </c>
      <c r="C23" s="21">
        <v>55</v>
      </c>
      <c r="D23" s="21">
        <v>0</v>
      </c>
      <c r="E23" s="22">
        <f t="shared" si="0"/>
        <v>13455</v>
      </c>
      <c r="G23" s="11"/>
      <c r="H23" s="11"/>
      <c r="I23" s="11"/>
      <c r="J23" s="11"/>
      <c r="K23" s="12"/>
    </row>
    <row r="24" spans="1:12" x14ac:dyDescent="0.2">
      <c r="A24" s="19">
        <v>44895</v>
      </c>
      <c r="B24" s="20" t="s">
        <v>9</v>
      </c>
      <c r="C24" s="21">
        <v>55</v>
      </c>
      <c r="D24" s="21">
        <v>0</v>
      </c>
      <c r="E24" s="22">
        <f t="shared" si="0"/>
        <v>13510</v>
      </c>
      <c r="G24" s="1"/>
      <c r="H24" s="1"/>
      <c r="I24" s="1"/>
      <c r="J24" s="1"/>
      <c r="K24" s="1"/>
    </row>
    <row r="25" spans="1:12" x14ac:dyDescent="0.2">
      <c r="A25" s="19">
        <v>44926</v>
      </c>
      <c r="B25" s="20" t="s">
        <v>9</v>
      </c>
      <c r="C25" s="21">
        <v>55</v>
      </c>
      <c r="D25" s="21">
        <v>0</v>
      </c>
      <c r="E25" s="22">
        <f t="shared" si="0"/>
        <v>13565</v>
      </c>
      <c r="G25" s="1"/>
      <c r="H25" s="1"/>
      <c r="I25" s="6"/>
      <c r="J25" s="6"/>
      <c r="K25" s="6"/>
    </row>
    <row r="26" spans="1:12" x14ac:dyDescent="0.2">
      <c r="A26" s="19">
        <v>44957</v>
      </c>
      <c r="B26" s="20" t="s">
        <v>9</v>
      </c>
      <c r="C26" s="21">
        <v>55</v>
      </c>
      <c r="D26" s="21">
        <v>0</v>
      </c>
      <c r="E26" s="22">
        <f t="shared" si="0"/>
        <v>13620</v>
      </c>
      <c r="G26" s="6"/>
      <c r="H26" s="6"/>
      <c r="I26" s="1"/>
      <c r="J26" s="1"/>
      <c r="K26" s="1"/>
    </row>
    <row r="27" spans="1:12" x14ac:dyDescent="0.2">
      <c r="A27" s="19">
        <v>44985</v>
      </c>
      <c r="B27" s="20" t="s">
        <v>9</v>
      </c>
      <c r="C27" s="21">
        <v>55</v>
      </c>
      <c r="D27" s="21">
        <v>0</v>
      </c>
      <c r="E27" s="22">
        <f t="shared" si="0"/>
        <v>13675</v>
      </c>
      <c r="G27" s="1"/>
      <c r="H27" s="1"/>
      <c r="I27" s="1"/>
      <c r="J27" s="1"/>
      <c r="K27" s="11"/>
    </row>
    <row r="28" spans="1:12" x14ac:dyDescent="0.2">
      <c r="A28" s="19">
        <v>45016</v>
      </c>
      <c r="B28" s="20" t="s">
        <v>9</v>
      </c>
      <c r="C28" s="21">
        <v>55</v>
      </c>
      <c r="D28" s="21">
        <v>0</v>
      </c>
      <c r="E28" s="22">
        <f t="shared" si="0"/>
        <v>13730</v>
      </c>
      <c r="G28" s="6"/>
      <c r="H28" s="6"/>
      <c r="I28" s="6"/>
      <c r="J28" s="6"/>
    </row>
    <row r="29" spans="1:12" ht="13.5" thickBot="1" x14ac:dyDescent="0.25">
      <c r="A29" s="37">
        <v>45046</v>
      </c>
      <c r="B29" s="38" t="s">
        <v>9</v>
      </c>
      <c r="C29" s="39">
        <v>55</v>
      </c>
      <c r="D29" s="39">
        <v>0</v>
      </c>
      <c r="E29" s="40">
        <f t="shared" si="0"/>
        <v>13785</v>
      </c>
      <c r="G29" s="1"/>
      <c r="H29" s="1"/>
      <c r="I29" s="1"/>
      <c r="J29" s="1"/>
    </row>
    <row r="30" spans="1:12" x14ac:dyDescent="0.2">
      <c r="A30" s="33">
        <v>45077</v>
      </c>
      <c r="B30" s="45" t="s">
        <v>9</v>
      </c>
      <c r="C30" s="35">
        <v>57</v>
      </c>
      <c r="D30" s="35">
        <v>0</v>
      </c>
      <c r="E30" s="36">
        <f t="shared" si="0"/>
        <v>13842</v>
      </c>
      <c r="G30" s="11"/>
      <c r="H30" s="11"/>
      <c r="I30" s="11"/>
      <c r="J30" s="11"/>
      <c r="K30" s="12"/>
    </row>
    <row r="31" spans="1:12" x14ac:dyDescent="0.2">
      <c r="A31" s="19">
        <v>45107</v>
      </c>
      <c r="B31" s="20" t="s">
        <v>9</v>
      </c>
      <c r="C31" s="21">
        <v>57</v>
      </c>
      <c r="D31" s="21">
        <v>0</v>
      </c>
      <c r="E31" s="22">
        <f t="shared" si="0"/>
        <v>13899</v>
      </c>
      <c r="F31">
        <f>-E29*$E$2</f>
        <v>-689.25</v>
      </c>
      <c r="G31" s="6">
        <f>+F31/12</f>
        <v>-57.4375</v>
      </c>
    </row>
    <row r="32" spans="1:12" x14ac:dyDescent="0.2">
      <c r="A32" s="19">
        <v>45138</v>
      </c>
      <c r="B32" s="20" t="s">
        <v>9</v>
      </c>
      <c r="C32" s="21">
        <v>57</v>
      </c>
      <c r="D32" s="21">
        <v>0</v>
      </c>
      <c r="E32" s="22">
        <f t="shared" si="0"/>
        <v>13956</v>
      </c>
      <c r="F32" s="1">
        <f>+E29+(F31*-1)</f>
        <v>14474.25</v>
      </c>
      <c r="G32" s="1">
        <f>+F32-E153</f>
        <v>14474.25</v>
      </c>
      <c r="H32" s="1"/>
    </row>
    <row r="33" spans="1:9" x14ac:dyDescent="0.2">
      <c r="A33" s="19">
        <v>45169</v>
      </c>
      <c r="B33" s="20" t="s">
        <v>9</v>
      </c>
      <c r="C33" s="21">
        <v>57</v>
      </c>
      <c r="D33" s="21">
        <v>0</v>
      </c>
      <c r="E33" s="22">
        <f t="shared" si="0"/>
        <v>14013</v>
      </c>
      <c r="G33" s="6"/>
      <c r="H33" s="13"/>
    </row>
    <row r="34" spans="1:9" x14ac:dyDescent="0.2">
      <c r="A34" s="19">
        <v>45199</v>
      </c>
      <c r="B34" s="20" t="s">
        <v>9</v>
      </c>
      <c r="C34" s="21">
        <v>57</v>
      </c>
      <c r="D34" s="21">
        <v>0</v>
      </c>
      <c r="E34" s="22">
        <f t="shared" si="0"/>
        <v>14070</v>
      </c>
      <c r="G34" s="1"/>
      <c r="H34" s="13"/>
    </row>
    <row r="35" spans="1:9" x14ac:dyDescent="0.2">
      <c r="A35" s="19">
        <v>45230</v>
      </c>
      <c r="B35" s="20" t="s">
        <v>9</v>
      </c>
      <c r="C35" s="21">
        <v>57</v>
      </c>
      <c r="D35" s="21">
        <v>0</v>
      </c>
      <c r="E35" s="22">
        <f t="shared" si="0"/>
        <v>14127</v>
      </c>
      <c r="G35" s="1"/>
      <c r="H35" s="1"/>
      <c r="I35" s="12"/>
    </row>
    <row r="36" spans="1:9" x14ac:dyDescent="0.2">
      <c r="A36" s="19">
        <v>45260</v>
      </c>
      <c r="B36" s="20" t="s">
        <v>9</v>
      </c>
      <c r="C36" s="21">
        <v>57</v>
      </c>
      <c r="D36" s="21">
        <v>0</v>
      </c>
      <c r="E36" s="22">
        <f t="shared" si="0"/>
        <v>14184</v>
      </c>
      <c r="G36" s="6"/>
      <c r="H36" s="6"/>
    </row>
    <row r="37" spans="1:9" x14ac:dyDescent="0.2">
      <c r="A37" s="19">
        <v>45291</v>
      </c>
      <c r="B37" s="20" t="s">
        <v>9</v>
      </c>
      <c r="C37" s="21">
        <v>57</v>
      </c>
      <c r="D37" s="21">
        <v>0</v>
      </c>
      <c r="E37" s="22">
        <f t="shared" si="0"/>
        <v>14241</v>
      </c>
      <c r="G37" s="1"/>
      <c r="H37" s="1"/>
    </row>
    <row r="38" spans="1:9" x14ac:dyDescent="0.2">
      <c r="A38" s="19">
        <v>45322</v>
      </c>
      <c r="B38" s="20" t="s">
        <v>9</v>
      </c>
      <c r="C38" s="21">
        <v>57</v>
      </c>
      <c r="D38" s="21">
        <v>0</v>
      </c>
      <c r="E38" s="22">
        <f t="shared" si="0"/>
        <v>14298</v>
      </c>
      <c r="G38" s="6"/>
      <c r="H38" s="6"/>
      <c r="I38" s="12"/>
    </row>
    <row r="39" spans="1:9" x14ac:dyDescent="0.2">
      <c r="A39" s="19">
        <v>45351</v>
      </c>
      <c r="B39" s="20" t="s">
        <v>9</v>
      </c>
      <c r="C39" s="21">
        <v>57</v>
      </c>
      <c r="D39" s="21">
        <v>0</v>
      </c>
      <c r="E39" s="22">
        <f t="shared" si="0"/>
        <v>14355</v>
      </c>
      <c r="G39" s="1"/>
      <c r="H39" s="1"/>
    </row>
    <row r="40" spans="1:9" x14ac:dyDescent="0.2">
      <c r="A40" s="19">
        <v>45382</v>
      </c>
      <c r="B40" s="20" t="s">
        <v>9</v>
      </c>
      <c r="C40" s="21">
        <v>57</v>
      </c>
      <c r="D40" s="21">
        <v>0</v>
      </c>
      <c r="E40" s="22">
        <f t="shared" si="0"/>
        <v>14412</v>
      </c>
      <c r="G40" s="6"/>
      <c r="H40" s="11"/>
      <c r="I40" s="12"/>
    </row>
    <row r="41" spans="1:9" ht="13.5" thickBot="1" x14ac:dyDescent="0.25">
      <c r="A41" s="37">
        <v>45412</v>
      </c>
      <c r="B41" s="38" t="s">
        <v>9</v>
      </c>
      <c r="C41" s="39">
        <v>57</v>
      </c>
      <c r="D41" s="39">
        <v>0</v>
      </c>
      <c r="E41" s="40">
        <f t="shared" si="0"/>
        <v>14469</v>
      </c>
      <c r="G41" s="1"/>
    </row>
    <row r="42" spans="1:9" x14ac:dyDescent="0.2">
      <c r="A42" s="33">
        <v>45443</v>
      </c>
      <c r="B42" s="45" t="s">
        <v>9</v>
      </c>
      <c r="C42" s="35">
        <v>60</v>
      </c>
      <c r="D42" s="35">
        <v>0</v>
      </c>
      <c r="E42" s="36">
        <f t="shared" si="0"/>
        <v>14529</v>
      </c>
      <c r="G42" s="11"/>
    </row>
    <row r="43" spans="1:9" x14ac:dyDescent="0.2">
      <c r="A43" s="19">
        <v>45473</v>
      </c>
      <c r="B43" s="20" t="s">
        <v>9</v>
      </c>
      <c r="C43" s="21">
        <v>60</v>
      </c>
      <c r="D43" s="21">
        <v>0</v>
      </c>
      <c r="E43" s="22">
        <f t="shared" si="0"/>
        <v>14589</v>
      </c>
    </row>
    <row r="44" spans="1:9" x14ac:dyDescent="0.2">
      <c r="A44" s="19">
        <v>45504</v>
      </c>
      <c r="B44" s="20" t="s">
        <v>9</v>
      </c>
      <c r="C44" s="21">
        <v>60</v>
      </c>
      <c r="D44" s="21">
        <v>0</v>
      </c>
      <c r="E44" s="22">
        <f t="shared" si="0"/>
        <v>14649</v>
      </c>
    </row>
    <row r="45" spans="1:9" x14ac:dyDescent="0.2">
      <c r="A45" s="19">
        <v>45534</v>
      </c>
      <c r="B45" s="20" t="s">
        <v>9</v>
      </c>
      <c r="C45" s="21">
        <v>60</v>
      </c>
      <c r="D45" s="21">
        <v>0</v>
      </c>
      <c r="E45" s="22">
        <f t="shared" si="0"/>
        <v>14709</v>
      </c>
    </row>
    <row r="46" spans="1:9" x14ac:dyDescent="0.2">
      <c r="A46" s="19">
        <v>45565</v>
      </c>
      <c r="B46" s="20" t="s">
        <v>9</v>
      </c>
      <c r="C46" s="21">
        <v>60</v>
      </c>
      <c r="D46" s="21">
        <v>0</v>
      </c>
      <c r="E46" s="22">
        <f t="shared" si="0"/>
        <v>14769</v>
      </c>
    </row>
    <row r="47" spans="1:9" x14ac:dyDescent="0.2">
      <c r="A47" s="19">
        <v>45596</v>
      </c>
      <c r="B47" s="20" t="s">
        <v>9</v>
      </c>
      <c r="C47" s="21">
        <v>60</v>
      </c>
      <c r="D47" s="21">
        <v>0</v>
      </c>
      <c r="E47" s="22">
        <f t="shared" si="0"/>
        <v>14829</v>
      </c>
    </row>
    <row r="48" spans="1:9" x14ac:dyDescent="0.2">
      <c r="A48" s="46">
        <v>45626</v>
      </c>
      <c r="B48" s="20" t="s">
        <v>9</v>
      </c>
      <c r="C48" s="21">
        <v>60</v>
      </c>
      <c r="D48" s="21">
        <v>0</v>
      </c>
      <c r="E48" s="22">
        <f t="shared" si="0"/>
        <v>14889</v>
      </c>
    </row>
    <row r="49" spans="1:8" x14ac:dyDescent="0.2">
      <c r="A49" s="19">
        <v>45657</v>
      </c>
      <c r="B49" s="20" t="s">
        <v>9</v>
      </c>
      <c r="C49" s="21">
        <v>60</v>
      </c>
      <c r="D49" s="21">
        <v>0</v>
      </c>
      <c r="E49" s="22">
        <f t="shared" si="0"/>
        <v>14949</v>
      </c>
    </row>
    <row r="50" spans="1:8" x14ac:dyDescent="0.2">
      <c r="A50" s="19">
        <v>45688</v>
      </c>
      <c r="B50" s="20" t="s">
        <v>9</v>
      </c>
      <c r="C50" s="21">
        <v>60</v>
      </c>
      <c r="D50" s="21">
        <v>0</v>
      </c>
      <c r="E50" s="22">
        <f t="shared" si="0"/>
        <v>15009</v>
      </c>
    </row>
    <row r="51" spans="1:8" x14ac:dyDescent="0.2">
      <c r="A51" s="19">
        <v>45716</v>
      </c>
      <c r="B51" s="20" t="s">
        <v>9</v>
      </c>
      <c r="C51" s="21">
        <v>60</v>
      </c>
      <c r="D51" s="21">
        <v>0</v>
      </c>
      <c r="E51" s="22">
        <f t="shared" si="0"/>
        <v>15069</v>
      </c>
    </row>
    <row r="52" spans="1:8" x14ac:dyDescent="0.2">
      <c r="A52" s="19">
        <v>45747</v>
      </c>
      <c r="B52" s="20" t="s">
        <v>9</v>
      </c>
      <c r="C52" s="21">
        <v>60</v>
      </c>
      <c r="D52" s="21">
        <v>0</v>
      </c>
      <c r="E52" s="22">
        <f t="shared" si="0"/>
        <v>15129</v>
      </c>
      <c r="G52" s="1"/>
      <c r="H52" s="1"/>
    </row>
    <row r="53" spans="1:8" ht="13.5" thickBot="1" x14ac:dyDescent="0.25">
      <c r="A53" s="37">
        <v>45777</v>
      </c>
      <c r="B53" s="38" t="s">
        <v>9</v>
      </c>
      <c r="C53" s="39">
        <v>60</v>
      </c>
      <c r="D53" s="39">
        <v>0</v>
      </c>
      <c r="E53" s="40">
        <f t="shared" si="0"/>
        <v>15189</v>
      </c>
    </row>
    <row r="54" spans="1:8" x14ac:dyDescent="0.2">
      <c r="A54" s="33">
        <v>45807</v>
      </c>
      <c r="B54" s="45" t="s">
        <v>9</v>
      </c>
      <c r="C54" s="35">
        <v>63</v>
      </c>
      <c r="D54" s="35">
        <v>0</v>
      </c>
      <c r="E54" s="36">
        <f t="shared" si="0"/>
        <v>15252</v>
      </c>
    </row>
    <row r="55" spans="1:8" x14ac:dyDescent="0.2">
      <c r="A55" s="19">
        <v>45838</v>
      </c>
      <c r="B55" s="20" t="s">
        <v>9</v>
      </c>
      <c r="C55" s="21">
        <v>63</v>
      </c>
      <c r="D55" s="21">
        <v>0</v>
      </c>
      <c r="E55" s="22">
        <f t="shared" si="0"/>
        <v>15315</v>
      </c>
    </row>
    <row r="56" spans="1:8" x14ac:dyDescent="0.2">
      <c r="A56" s="19">
        <v>45869</v>
      </c>
      <c r="B56" s="20" t="s">
        <v>9</v>
      </c>
      <c r="C56" s="21">
        <v>63</v>
      </c>
      <c r="D56" s="21">
        <v>0</v>
      </c>
      <c r="E56" s="22">
        <f t="shared" si="0"/>
        <v>15378</v>
      </c>
    </row>
    <row r="57" spans="1:8" x14ac:dyDescent="0.2">
      <c r="A57" s="19">
        <v>45900</v>
      </c>
      <c r="B57" s="20" t="s">
        <v>9</v>
      </c>
      <c r="C57" s="21">
        <v>63</v>
      </c>
      <c r="D57" s="21">
        <v>0</v>
      </c>
      <c r="E57" s="22">
        <f t="shared" si="0"/>
        <v>15441</v>
      </c>
    </row>
    <row r="58" spans="1:8" x14ac:dyDescent="0.2">
      <c r="A58" s="19">
        <v>45930</v>
      </c>
      <c r="B58" s="20" t="s">
        <v>9</v>
      </c>
      <c r="C58" s="21">
        <v>63</v>
      </c>
      <c r="D58" s="21">
        <v>0</v>
      </c>
      <c r="E58" s="22">
        <f t="shared" si="0"/>
        <v>15504</v>
      </c>
    </row>
    <row r="59" spans="1:8" x14ac:dyDescent="0.2">
      <c r="A59" s="19">
        <v>45961</v>
      </c>
      <c r="B59" s="20" t="s">
        <v>9</v>
      </c>
      <c r="C59" s="21">
        <v>63</v>
      </c>
      <c r="D59" s="21">
        <v>0</v>
      </c>
      <c r="E59" s="22">
        <f t="shared" si="0"/>
        <v>15567</v>
      </c>
    </row>
    <row r="60" spans="1:8" x14ac:dyDescent="0.2">
      <c r="A60" s="46">
        <v>45991</v>
      </c>
      <c r="B60" s="20" t="s">
        <v>9</v>
      </c>
      <c r="C60" s="21">
        <v>63</v>
      </c>
      <c r="D60" s="21">
        <v>0</v>
      </c>
      <c r="E60" s="22">
        <f t="shared" si="0"/>
        <v>15630</v>
      </c>
    </row>
    <row r="61" spans="1:8" x14ac:dyDescent="0.2">
      <c r="A61" s="19">
        <v>46022</v>
      </c>
      <c r="B61" s="20" t="s">
        <v>9</v>
      </c>
      <c r="C61" s="21">
        <v>63</v>
      </c>
      <c r="D61" s="21">
        <v>0</v>
      </c>
      <c r="E61" s="22">
        <f t="shared" si="0"/>
        <v>15693</v>
      </c>
    </row>
    <row r="62" spans="1:8" x14ac:dyDescent="0.2">
      <c r="A62" s="19">
        <v>46053</v>
      </c>
      <c r="B62" s="20" t="s">
        <v>9</v>
      </c>
      <c r="C62" s="21">
        <v>63</v>
      </c>
      <c r="D62" s="21">
        <v>0</v>
      </c>
      <c r="E62" s="22">
        <f t="shared" si="0"/>
        <v>15756</v>
      </c>
    </row>
    <row r="63" spans="1:8" x14ac:dyDescent="0.2">
      <c r="A63" s="19">
        <v>46081</v>
      </c>
      <c r="B63" s="20" t="s">
        <v>9</v>
      </c>
      <c r="C63" s="21">
        <v>63</v>
      </c>
      <c r="D63" s="21">
        <v>0</v>
      </c>
      <c r="E63" s="22">
        <f t="shared" si="0"/>
        <v>15819</v>
      </c>
    </row>
    <row r="64" spans="1:8" x14ac:dyDescent="0.2">
      <c r="A64" s="19">
        <v>46112</v>
      </c>
      <c r="B64" s="20" t="s">
        <v>9</v>
      </c>
      <c r="C64" s="21">
        <v>63</v>
      </c>
      <c r="D64" s="21">
        <v>0</v>
      </c>
      <c r="E64" s="22">
        <f t="shared" si="0"/>
        <v>15882</v>
      </c>
    </row>
    <row r="65" spans="1:5" ht="13.5" thickBot="1" x14ac:dyDescent="0.25">
      <c r="A65" s="37">
        <v>46142</v>
      </c>
      <c r="B65" s="38" t="s">
        <v>9</v>
      </c>
      <c r="C65" s="39">
        <v>63</v>
      </c>
      <c r="D65" s="39">
        <v>0</v>
      </c>
      <c r="E65" s="40">
        <f t="shared" si="0"/>
        <v>15945</v>
      </c>
    </row>
    <row r="66" spans="1:5" x14ac:dyDescent="0.2">
      <c r="A66" s="19"/>
      <c r="B66" s="20"/>
      <c r="C66" s="21">
        <v>0</v>
      </c>
      <c r="D66" s="21">
        <v>0</v>
      </c>
      <c r="E66" s="22">
        <f t="shared" si="0"/>
        <v>15945</v>
      </c>
    </row>
    <row r="67" spans="1:5" x14ac:dyDescent="0.2">
      <c r="A67" s="19"/>
      <c r="B67" s="20"/>
      <c r="C67" s="21">
        <v>0</v>
      </c>
      <c r="D67" s="21">
        <v>0</v>
      </c>
      <c r="E67" s="22">
        <f t="shared" si="0"/>
        <v>15945</v>
      </c>
    </row>
    <row r="68" spans="1:5" x14ac:dyDescent="0.2">
      <c r="A68" s="19"/>
      <c r="B68" s="20"/>
      <c r="C68" s="21">
        <v>0</v>
      </c>
      <c r="D68" s="21">
        <v>0</v>
      </c>
      <c r="E68" s="22">
        <f t="shared" si="0"/>
        <v>15945</v>
      </c>
    </row>
    <row r="69" spans="1:5" x14ac:dyDescent="0.2">
      <c r="A69" s="19"/>
      <c r="B69" s="20"/>
      <c r="C69" s="21">
        <v>0</v>
      </c>
      <c r="D69" s="21">
        <v>0</v>
      </c>
      <c r="E69" s="22">
        <f t="shared" ref="E69:E132" si="1">SUM(E68+C69-D69)</f>
        <v>15945</v>
      </c>
    </row>
    <row r="70" spans="1:5" x14ac:dyDescent="0.2">
      <c r="A70" s="19"/>
      <c r="B70" s="20"/>
      <c r="C70" s="21">
        <v>0</v>
      </c>
      <c r="D70" s="21">
        <v>0</v>
      </c>
      <c r="E70" s="22">
        <f t="shared" si="1"/>
        <v>15945</v>
      </c>
    </row>
    <row r="71" spans="1:5" x14ac:dyDescent="0.2">
      <c r="A71" s="19"/>
      <c r="B71" s="20"/>
      <c r="C71" s="21">
        <v>0</v>
      </c>
      <c r="D71" s="21">
        <v>0</v>
      </c>
      <c r="E71" s="22">
        <f t="shared" si="1"/>
        <v>15945</v>
      </c>
    </row>
    <row r="72" spans="1:5" x14ac:dyDescent="0.2">
      <c r="A72" s="19"/>
      <c r="B72" s="20"/>
      <c r="C72" s="21">
        <v>0</v>
      </c>
      <c r="D72" s="21">
        <v>0</v>
      </c>
      <c r="E72" s="22">
        <f t="shared" si="1"/>
        <v>15945</v>
      </c>
    </row>
    <row r="73" spans="1:5" x14ac:dyDescent="0.2">
      <c r="A73" s="19"/>
      <c r="B73" s="20"/>
      <c r="C73" s="21">
        <v>0</v>
      </c>
      <c r="D73" s="21">
        <v>0</v>
      </c>
      <c r="E73" s="22">
        <f t="shared" si="1"/>
        <v>15945</v>
      </c>
    </row>
    <row r="74" spans="1:5" x14ac:dyDescent="0.2">
      <c r="A74" s="19"/>
      <c r="B74" s="20"/>
      <c r="C74" s="21">
        <v>0</v>
      </c>
      <c r="D74" s="21">
        <v>0</v>
      </c>
      <c r="E74" s="22">
        <f t="shared" si="1"/>
        <v>15945</v>
      </c>
    </row>
    <row r="75" spans="1:5" x14ac:dyDescent="0.2">
      <c r="A75" s="19"/>
      <c r="B75" s="20"/>
      <c r="C75" s="21">
        <v>0</v>
      </c>
      <c r="D75" s="21">
        <v>0</v>
      </c>
      <c r="E75" s="22">
        <f t="shared" si="1"/>
        <v>15945</v>
      </c>
    </row>
    <row r="76" spans="1:5" x14ac:dyDescent="0.2">
      <c r="A76" s="19"/>
      <c r="B76" s="20"/>
      <c r="C76" s="21">
        <v>0</v>
      </c>
      <c r="D76" s="21">
        <v>0</v>
      </c>
      <c r="E76" s="22">
        <f t="shared" si="1"/>
        <v>15945</v>
      </c>
    </row>
    <row r="77" spans="1:5" x14ac:dyDescent="0.2">
      <c r="A77" s="19"/>
      <c r="B77" s="20"/>
      <c r="C77" s="21">
        <v>0</v>
      </c>
      <c r="D77" s="21">
        <v>0</v>
      </c>
      <c r="E77" s="22">
        <f t="shared" si="1"/>
        <v>15945</v>
      </c>
    </row>
    <row r="78" spans="1:5" x14ac:dyDescent="0.2">
      <c r="A78" s="19"/>
      <c r="B78" s="20"/>
      <c r="C78" s="21">
        <v>0</v>
      </c>
      <c r="D78" s="21">
        <v>0</v>
      </c>
      <c r="E78" s="22">
        <f t="shared" si="1"/>
        <v>15945</v>
      </c>
    </row>
    <row r="79" spans="1:5" x14ac:dyDescent="0.2">
      <c r="A79" s="19"/>
      <c r="B79" s="20"/>
      <c r="C79" s="21">
        <v>0</v>
      </c>
      <c r="D79" s="21">
        <v>0</v>
      </c>
      <c r="E79" s="22">
        <f t="shared" si="1"/>
        <v>15945</v>
      </c>
    </row>
    <row r="80" spans="1:5" x14ac:dyDescent="0.2">
      <c r="A80" s="19"/>
      <c r="B80" s="20"/>
      <c r="C80" s="21">
        <v>0</v>
      </c>
      <c r="D80" s="21">
        <v>0</v>
      </c>
      <c r="E80" s="22">
        <f t="shared" si="1"/>
        <v>15945</v>
      </c>
    </row>
    <row r="81" spans="1:5" x14ac:dyDescent="0.2">
      <c r="A81" s="19"/>
      <c r="B81" s="20"/>
      <c r="C81" s="21">
        <v>0</v>
      </c>
      <c r="D81" s="21">
        <v>0</v>
      </c>
      <c r="E81" s="22">
        <f t="shared" si="1"/>
        <v>15945</v>
      </c>
    </row>
    <row r="82" spans="1:5" x14ac:dyDescent="0.2">
      <c r="A82" s="19"/>
      <c r="B82" s="20"/>
      <c r="C82" s="21">
        <v>0</v>
      </c>
      <c r="D82" s="21">
        <v>0</v>
      </c>
      <c r="E82" s="22">
        <f t="shared" si="1"/>
        <v>15945</v>
      </c>
    </row>
    <row r="83" spans="1:5" x14ac:dyDescent="0.2">
      <c r="A83" s="19"/>
      <c r="B83" s="20"/>
      <c r="C83" s="21">
        <v>0</v>
      </c>
      <c r="D83" s="21">
        <v>0</v>
      </c>
      <c r="E83" s="22">
        <f t="shared" si="1"/>
        <v>15945</v>
      </c>
    </row>
    <row r="84" spans="1:5" x14ac:dyDescent="0.2">
      <c r="A84" s="19"/>
      <c r="B84" s="20"/>
      <c r="C84" s="21">
        <v>0</v>
      </c>
      <c r="D84" s="21">
        <v>0</v>
      </c>
      <c r="E84" s="22">
        <f t="shared" si="1"/>
        <v>15945</v>
      </c>
    </row>
    <row r="85" spans="1:5" x14ac:dyDescent="0.2">
      <c r="A85" s="19"/>
      <c r="B85" s="20"/>
      <c r="C85" s="21">
        <v>0</v>
      </c>
      <c r="D85" s="21">
        <v>0</v>
      </c>
      <c r="E85" s="22">
        <f t="shared" si="1"/>
        <v>15945</v>
      </c>
    </row>
    <row r="86" spans="1:5" x14ac:dyDescent="0.2">
      <c r="A86" s="19"/>
      <c r="B86" s="20"/>
      <c r="C86" s="21">
        <v>0</v>
      </c>
      <c r="D86" s="21">
        <v>0</v>
      </c>
      <c r="E86" s="22">
        <f t="shared" si="1"/>
        <v>15945</v>
      </c>
    </row>
    <row r="87" spans="1:5" x14ac:dyDescent="0.2">
      <c r="A87" s="19"/>
      <c r="B87" s="20"/>
      <c r="C87" s="21">
        <v>0</v>
      </c>
      <c r="D87" s="21">
        <v>0</v>
      </c>
      <c r="E87" s="22">
        <f t="shared" si="1"/>
        <v>15945</v>
      </c>
    </row>
    <row r="88" spans="1:5" x14ac:dyDescent="0.2">
      <c r="A88" s="19"/>
      <c r="B88" s="20"/>
      <c r="C88" s="21">
        <v>0</v>
      </c>
      <c r="D88" s="21">
        <v>0</v>
      </c>
      <c r="E88" s="22">
        <f t="shared" si="1"/>
        <v>15945</v>
      </c>
    </row>
    <row r="89" spans="1:5" x14ac:dyDescent="0.2">
      <c r="A89" s="19"/>
      <c r="B89" s="20"/>
      <c r="C89" s="21">
        <v>0</v>
      </c>
      <c r="D89" s="21">
        <v>0</v>
      </c>
      <c r="E89" s="22">
        <f t="shared" si="1"/>
        <v>15945</v>
      </c>
    </row>
    <row r="90" spans="1:5" x14ac:dyDescent="0.2">
      <c r="A90" s="19"/>
      <c r="B90" s="20"/>
      <c r="C90" s="21">
        <v>0</v>
      </c>
      <c r="D90" s="21">
        <v>0</v>
      </c>
      <c r="E90" s="22">
        <f t="shared" si="1"/>
        <v>15945</v>
      </c>
    </row>
    <row r="91" spans="1:5" x14ac:dyDescent="0.2">
      <c r="A91" s="19"/>
      <c r="B91" s="20"/>
      <c r="C91" s="21">
        <v>0</v>
      </c>
      <c r="D91" s="21">
        <v>0</v>
      </c>
      <c r="E91" s="22">
        <f t="shared" si="1"/>
        <v>15945</v>
      </c>
    </row>
    <row r="92" spans="1:5" x14ac:dyDescent="0.2">
      <c r="A92" s="19"/>
      <c r="B92" s="20"/>
      <c r="C92" s="21">
        <v>0</v>
      </c>
      <c r="D92" s="21">
        <v>0</v>
      </c>
      <c r="E92" s="22">
        <f t="shared" si="1"/>
        <v>15945</v>
      </c>
    </row>
    <row r="93" spans="1:5" x14ac:dyDescent="0.2">
      <c r="A93" s="19"/>
      <c r="B93" s="20"/>
      <c r="C93" s="21">
        <v>0</v>
      </c>
      <c r="D93" s="21">
        <v>0</v>
      </c>
      <c r="E93" s="22">
        <f t="shared" si="1"/>
        <v>15945</v>
      </c>
    </row>
    <row r="94" spans="1:5" x14ac:dyDescent="0.2">
      <c r="A94" s="19"/>
      <c r="B94" s="20"/>
      <c r="C94" s="21">
        <v>0</v>
      </c>
      <c r="D94" s="21">
        <v>0</v>
      </c>
      <c r="E94" s="22">
        <f t="shared" si="1"/>
        <v>15945</v>
      </c>
    </row>
    <row r="95" spans="1:5" x14ac:dyDescent="0.2">
      <c r="A95" s="19"/>
      <c r="B95" s="20"/>
      <c r="C95" s="21">
        <v>0</v>
      </c>
      <c r="D95" s="21">
        <v>0</v>
      </c>
      <c r="E95" s="22">
        <f t="shared" si="1"/>
        <v>15945</v>
      </c>
    </row>
    <row r="96" spans="1:5" x14ac:dyDescent="0.2">
      <c r="A96" s="19"/>
      <c r="B96" s="20"/>
      <c r="C96" s="21">
        <v>0</v>
      </c>
      <c r="D96" s="21">
        <v>0</v>
      </c>
      <c r="E96" s="22">
        <f t="shared" si="1"/>
        <v>15945</v>
      </c>
    </row>
    <row r="97" spans="1:5" x14ac:dyDescent="0.2">
      <c r="A97" s="19"/>
      <c r="B97" s="20"/>
      <c r="C97" s="21">
        <v>0</v>
      </c>
      <c r="D97" s="21">
        <v>0</v>
      </c>
      <c r="E97" s="22">
        <f t="shared" si="1"/>
        <v>15945</v>
      </c>
    </row>
    <row r="98" spans="1:5" x14ac:dyDescent="0.2">
      <c r="A98" s="19"/>
      <c r="B98" s="20"/>
      <c r="C98" s="21">
        <v>0</v>
      </c>
      <c r="D98" s="21">
        <v>0</v>
      </c>
      <c r="E98" s="22">
        <f t="shared" si="1"/>
        <v>15945</v>
      </c>
    </row>
    <row r="99" spans="1:5" x14ac:dyDescent="0.2">
      <c r="A99" s="19"/>
      <c r="B99" s="20"/>
      <c r="C99" s="21">
        <v>0</v>
      </c>
      <c r="D99" s="21">
        <v>0</v>
      </c>
      <c r="E99" s="22">
        <f t="shared" si="1"/>
        <v>15945</v>
      </c>
    </row>
    <row r="100" spans="1:5" x14ac:dyDescent="0.2">
      <c r="A100" s="19"/>
      <c r="B100" s="20"/>
      <c r="C100" s="21">
        <v>0</v>
      </c>
      <c r="D100" s="21">
        <v>0</v>
      </c>
      <c r="E100" s="22">
        <f t="shared" si="1"/>
        <v>15945</v>
      </c>
    </row>
    <row r="101" spans="1:5" x14ac:dyDescent="0.2">
      <c r="A101" s="19"/>
      <c r="B101" s="20"/>
      <c r="C101" s="21">
        <v>0</v>
      </c>
      <c r="D101" s="21">
        <v>0</v>
      </c>
      <c r="E101" s="22">
        <f t="shared" si="1"/>
        <v>15945</v>
      </c>
    </row>
    <row r="102" spans="1:5" x14ac:dyDescent="0.2">
      <c r="A102" s="19"/>
      <c r="B102" s="20"/>
      <c r="C102" s="21">
        <v>0</v>
      </c>
      <c r="D102" s="21">
        <v>0</v>
      </c>
      <c r="E102" s="22">
        <f t="shared" si="1"/>
        <v>15945</v>
      </c>
    </row>
    <row r="103" spans="1:5" x14ac:dyDescent="0.2">
      <c r="A103" s="19"/>
      <c r="B103" s="20"/>
      <c r="C103" s="21">
        <v>0</v>
      </c>
      <c r="D103" s="21">
        <v>0</v>
      </c>
      <c r="E103" s="22">
        <f t="shared" si="1"/>
        <v>15945</v>
      </c>
    </row>
    <row r="104" spans="1:5" x14ac:dyDescent="0.2">
      <c r="A104" s="19"/>
      <c r="B104" s="20"/>
      <c r="C104" s="21">
        <v>0</v>
      </c>
      <c r="D104" s="21">
        <v>0</v>
      </c>
      <c r="E104" s="22">
        <f t="shared" si="1"/>
        <v>15945</v>
      </c>
    </row>
    <row r="105" spans="1:5" x14ac:dyDescent="0.2">
      <c r="A105" s="19"/>
      <c r="B105" s="20"/>
      <c r="C105" s="21">
        <v>0</v>
      </c>
      <c r="D105" s="21">
        <v>0</v>
      </c>
      <c r="E105" s="22">
        <f t="shared" si="1"/>
        <v>15945</v>
      </c>
    </row>
    <row r="106" spans="1:5" x14ac:dyDescent="0.2">
      <c r="A106" s="19"/>
      <c r="B106" s="20"/>
      <c r="C106" s="21">
        <v>0</v>
      </c>
      <c r="D106" s="21">
        <v>0</v>
      </c>
      <c r="E106" s="22">
        <f t="shared" si="1"/>
        <v>15945</v>
      </c>
    </row>
    <row r="107" spans="1:5" x14ac:dyDescent="0.2">
      <c r="A107" s="19"/>
      <c r="B107" s="20"/>
      <c r="C107" s="21">
        <v>0</v>
      </c>
      <c r="D107" s="21">
        <v>0</v>
      </c>
      <c r="E107" s="22">
        <f t="shared" si="1"/>
        <v>15945</v>
      </c>
    </row>
    <row r="108" spans="1:5" x14ac:dyDescent="0.2">
      <c r="A108" s="19"/>
      <c r="B108" s="20"/>
      <c r="C108" s="21">
        <v>0</v>
      </c>
      <c r="D108" s="21">
        <v>0</v>
      </c>
      <c r="E108" s="22">
        <f t="shared" si="1"/>
        <v>15945</v>
      </c>
    </row>
    <row r="109" spans="1:5" x14ac:dyDescent="0.2">
      <c r="A109" s="19"/>
      <c r="B109" s="20"/>
      <c r="C109" s="21">
        <v>0</v>
      </c>
      <c r="D109" s="21">
        <v>0</v>
      </c>
      <c r="E109" s="22">
        <f t="shared" si="1"/>
        <v>15945</v>
      </c>
    </row>
    <row r="110" spans="1:5" x14ac:dyDescent="0.2">
      <c r="A110" s="19"/>
      <c r="B110" s="20"/>
      <c r="C110" s="21">
        <v>0</v>
      </c>
      <c r="D110" s="21">
        <v>0</v>
      </c>
      <c r="E110" s="22">
        <f t="shared" si="1"/>
        <v>15945</v>
      </c>
    </row>
    <row r="111" spans="1:5" x14ac:dyDescent="0.2">
      <c r="A111" s="19"/>
      <c r="B111" s="20"/>
      <c r="C111" s="21">
        <v>0</v>
      </c>
      <c r="D111" s="21">
        <v>0</v>
      </c>
      <c r="E111" s="22">
        <f t="shared" si="1"/>
        <v>15945</v>
      </c>
    </row>
    <row r="112" spans="1:5" x14ac:dyDescent="0.2">
      <c r="A112" s="19"/>
      <c r="B112" s="20"/>
      <c r="C112" s="21">
        <v>0</v>
      </c>
      <c r="D112" s="21">
        <v>0</v>
      </c>
      <c r="E112" s="22">
        <f t="shared" si="1"/>
        <v>15945</v>
      </c>
    </row>
    <row r="113" spans="1:5" x14ac:dyDescent="0.2">
      <c r="A113" s="19"/>
      <c r="B113" s="20"/>
      <c r="C113" s="21">
        <v>0</v>
      </c>
      <c r="D113" s="21">
        <v>0</v>
      </c>
      <c r="E113" s="22">
        <f t="shared" si="1"/>
        <v>15945</v>
      </c>
    </row>
    <row r="114" spans="1:5" x14ac:dyDescent="0.2">
      <c r="A114" s="19"/>
      <c r="B114" s="20"/>
      <c r="C114" s="21">
        <v>0</v>
      </c>
      <c r="D114" s="21">
        <v>0</v>
      </c>
      <c r="E114" s="22">
        <f t="shared" si="1"/>
        <v>15945</v>
      </c>
    </row>
    <row r="115" spans="1:5" x14ac:dyDescent="0.2">
      <c r="A115" s="19"/>
      <c r="B115" s="20"/>
      <c r="C115" s="21">
        <v>0</v>
      </c>
      <c r="D115" s="21">
        <v>0</v>
      </c>
      <c r="E115" s="22">
        <f t="shared" si="1"/>
        <v>15945</v>
      </c>
    </row>
    <row r="116" spans="1:5" x14ac:dyDescent="0.2">
      <c r="A116" s="19"/>
      <c r="B116" s="20"/>
      <c r="C116" s="21">
        <v>0</v>
      </c>
      <c r="D116" s="21">
        <v>0</v>
      </c>
      <c r="E116" s="22">
        <f t="shared" si="1"/>
        <v>15945</v>
      </c>
    </row>
    <row r="117" spans="1:5" x14ac:dyDescent="0.2">
      <c r="A117" s="19"/>
      <c r="B117" s="20"/>
      <c r="C117" s="21">
        <v>0</v>
      </c>
      <c r="D117" s="21">
        <v>0</v>
      </c>
      <c r="E117" s="22">
        <f t="shared" si="1"/>
        <v>15945</v>
      </c>
    </row>
    <row r="118" spans="1:5" x14ac:dyDescent="0.2">
      <c r="A118" s="19"/>
      <c r="B118" s="20"/>
      <c r="C118" s="21">
        <v>0</v>
      </c>
      <c r="D118" s="21">
        <v>0</v>
      </c>
      <c r="E118" s="22">
        <f t="shared" si="1"/>
        <v>15945</v>
      </c>
    </row>
    <row r="119" spans="1:5" x14ac:dyDescent="0.2">
      <c r="A119" s="19"/>
      <c r="B119" s="20"/>
      <c r="C119" s="21">
        <v>0</v>
      </c>
      <c r="D119" s="21">
        <v>0</v>
      </c>
      <c r="E119" s="22">
        <f t="shared" si="1"/>
        <v>15945</v>
      </c>
    </row>
    <row r="120" spans="1:5" x14ac:dyDescent="0.2">
      <c r="A120" s="19"/>
      <c r="B120" s="20"/>
      <c r="C120" s="21">
        <v>0</v>
      </c>
      <c r="D120" s="21">
        <v>0</v>
      </c>
      <c r="E120" s="22">
        <f t="shared" si="1"/>
        <v>15945</v>
      </c>
    </row>
    <row r="121" spans="1:5" x14ac:dyDescent="0.2">
      <c r="A121" s="19"/>
      <c r="B121" s="20"/>
      <c r="C121" s="21">
        <v>0</v>
      </c>
      <c r="D121" s="21">
        <v>0</v>
      </c>
      <c r="E121" s="22">
        <f t="shared" si="1"/>
        <v>15945</v>
      </c>
    </row>
    <row r="122" spans="1:5" x14ac:dyDescent="0.2">
      <c r="A122" s="19"/>
      <c r="B122" s="20"/>
      <c r="C122" s="21">
        <v>0</v>
      </c>
      <c r="D122" s="21">
        <v>0</v>
      </c>
      <c r="E122" s="22">
        <f t="shared" si="1"/>
        <v>15945</v>
      </c>
    </row>
    <row r="123" spans="1:5" x14ac:dyDescent="0.2">
      <c r="A123" s="19"/>
      <c r="B123" s="20"/>
      <c r="C123" s="21">
        <v>0</v>
      </c>
      <c r="D123" s="21">
        <v>0</v>
      </c>
      <c r="E123" s="22">
        <f t="shared" si="1"/>
        <v>15945</v>
      </c>
    </row>
    <row r="124" spans="1:5" x14ac:dyDescent="0.2">
      <c r="A124" s="19"/>
      <c r="B124" s="20"/>
      <c r="C124" s="21">
        <v>0</v>
      </c>
      <c r="D124" s="21">
        <v>0</v>
      </c>
      <c r="E124" s="22">
        <f t="shared" si="1"/>
        <v>15945</v>
      </c>
    </row>
    <row r="125" spans="1:5" x14ac:dyDescent="0.2">
      <c r="A125" s="19"/>
      <c r="B125" s="20"/>
      <c r="C125" s="21">
        <v>0</v>
      </c>
      <c r="D125" s="21">
        <v>0</v>
      </c>
      <c r="E125" s="22">
        <f t="shared" si="1"/>
        <v>15945</v>
      </c>
    </row>
    <row r="126" spans="1:5" x14ac:dyDescent="0.2">
      <c r="A126" s="19"/>
      <c r="B126" s="20"/>
      <c r="C126" s="21">
        <v>0</v>
      </c>
      <c r="D126" s="21">
        <v>0</v>
      </c>
      <c r="E126" s="22">
        <f t="shared" si="1"/>
        <v>15945</v>
      </c>
    </row>
    <row r="127" spans="1:5" x14ac:dyDescent="0.2">
      <c r="A127" s="19"/>
      <c r="B127" s="20"/>
      <c r="C127" s="21">
        <v>0</v>
      </c>
      <c r="D127" s="21">
        <v>0</v>
      </c>
      <c r="E127" s="22">
        <f t="shared" si="1"/>
        <v>15945</v>
      </c>
    </row>
    <row r="128" spans="1:5" x14ac:dyDescent="0.2">
      <c r="A128" s="19"/>
      <c r="B128" s="20"/>
      <c r="C128" s="21">
        <v>0</v>
      </c>
      <c r="D128" s="21">
        <v>0</v>
      </c>
      <c r="E128" s="22">
        <f t="shared" si="1"/>
        <v>15945</v>
      </c>
    </row>
    <row r="129" spans="1:5" x14ac:dyDescent="0.2">
      <c r="A129" s="19"/>
      <c r="B129" s="20"/>
      <c r="C129" s="21">
        <v>0</v>
      </c>
      <c r="D129" s="21">
        <v>0</v>
      </c>
      <c r="E129" s="22">
        <f t="shared" si="1"/>
        <v>15945</v>
      </c>
    </row>
    <row r="130" spans="1:5" x14ac:dyDescent="0.2">
      <c r="A130" s="19"/>
      <c r="B130" s="20"/>
      <c r="C130" s="21">
        <v>0</v>
      </c>
      <c r="D130" s="21">
        <v>0</v>
      </c>
      <c r="E130" s="22">
        <f t="shared" si="1"/>
        <v>15945</v>
      </c>
    </row>
    <row r="131" spans="1:5" x14ac:dyDescent="0.2">
      <c r="A131" s="19"/>
      <c r="B131" s="20"/>
      <c r="C131" s="21">
        <v>0</v>
      </c>
      <c r="D131" s="21">
        <v>0</v>
      </c>
      <c r="E131" s="22">
        <f t="shared" si="1"/>
        <v>15945</v>
      </c>
    </row>
    <row r="132" spans="1:5" x14ac:dyDescent="0.2">
      <c r="A132" s="19"/>
      <c r="B132" s="20"/>
      <c r="C132" s="21">
        <v>0</v>
      </c>
      <c r="D132" s="21">
        <v>0</v>
      </c>
      <c r="E132" s="22">
        <f t="shared" si="1"/>
        <v>15945</v>
      </c>
    </row>
    <row r="133" spans="1:5" x14ac:dyDescent="0.2">
      <c r="A133" s="19"/>
      <c r="B133" s="20"/>
      <c r="C133" s="21">
        <v>0</v>
      </c>
      <c r="D133" s="21">
        <v>0</v>
      </c>
      <c r="E133" s="22">
        <f t="shared" ref="E133:E140" si="2">SUM(E132+C133-D133)</f>
        <v>15945</v>
      </c>
    </row>
    <row r="134" spans="1:5" x14ac:dyDescent="0.2">
      <c r="A134" s="19"/>
      <c r="B134" s="20"/>
      <c r="C134" s="21">
        <v>0</v>
      </c>
      <c r="D134" s="21">
        <v>0</v>
      </c>
      <c r="E134" s="22">
        <f t="shared" si="2"/>
        <v>15945</v>
      </c>
    </row>
    <row r="135" spans="1:5" x14ac:dyDescent="0.2">
      <c r="A135" s="19"/>
      <c r="B135" s="20"/>
      <c r="C135" s="21">
        <v>0</v>
      </c>
      <c r="D135" s="21">
        <v>0</v>
      </c>
      <c r="E135" s="22">
        <f t="shared" si="2"/>
        <v>15945</v>
      </c>
    </row>
    <row r="136" spans="1:5" x14ac:dyDescent="0.2">
      <c r="A136" s="19"/>
      <c r="B136" s="20"/>
      <c r="C136" s="21">
        <v>0</v>
      </c>
      <c r="D136" s="21">
        <v>0</v>
      </c>
      <c r="E136" s="22">
        <f t="shared" si="2"/>
        <v>15945</v>
      </c>
    </row>
    <row r="137" spans="1:5" x14ac:dyDescent="0.2">
      <c r="A137" s="19"/>
      <c r="B137" s="20"/>
      <c r="C137" s="21">
        <v>0</v>
      </c>
      <c r="D137" s="21">
        <v>0</v>
      </c>
      <c r="E137" s="22">
        <f t="shared" si="2"/>
        <v>15945</v>
      </c>
    </row>
    <row r="138" spans="1:5" x14ac:dyDescent="0.2">
      <c r="A138" s="19"/>
      <c r="B138" s="20"/>
      <c r="C138" s="21">
        <v>0</v>
      </c>
      <c r="D138" s="21">
        <v>0</v>
      </c>
      <c r="E138" s="22">
        <f t="shared" si="2"/>
        <v>15945</v>
      </c>
    </row>
    <row r="139" spans="1:5" x14ac:dyDescent="0.2">
      <c r="A139" s="19"/>
      <c r="B139" s="20"/>
      <c r="C139" s="21">
        <v>0</v>
      </c>
      <c r="D139" s="21">
        <v>0</v>
      </c>
      <c r="E139" s="22">
        <f t="shared" si="2"/>
        <v>15945</v>
      </c>
    </row>
    <row r="140" spans="1:5" x14ac:dyDescent="0.2">
      <c r="A140" s="19"/>
      <c r="B140" s="20"/>
      <c r="C140" s="21">
        <v>0</v>
      </c>
      <c r="D140" s="21">
        <v>0</v>
      </c>
      <c r="E140" s="22">
        <f t="shared" si="2"/>
        <v>15945</v>
      </c>
    </row>
  </sheetData>
  <mergeCells count="1">
    <mergeCell ref="A1:E1"/>
  </mergeCell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FEA4-F81F-4FE6-BADC-522A7B8B72A4}">
  <sheetPr>
    <pageSetUpPr fitToPage="1"/>
  </sheetPr>
  <dimension ref="A1:M140"/>
  <sheetViews>
    <sheetView zoomScaleNormal="100" workbookViewId="0">
      <pane ySplit="3" topLeftCell="A35" activePane="bottomLeft" state="frozen"/>
      <selection pane="bottomLeft" activeCell="C65" sqref="C65"/>
    </sheetView>
  </sheetViews>
  <sheetFormatPr baseColWidth="10" defaultColWidth="9.140625" defaultRowHeight="12.75" x14ac:dyDescent="0.2"/>
  <cols>
    <col min="1" max="1" width="10.42578125" bestFit="1" customWidth="1"/>
    <col min="2" max="2" width="44.28515625" customWidth="1"/>
    <col min="3" max="3" width="10.140625" bestFit="1" customWidth="1"/>
    <col min="4" max="4" width="9.140625" customWidth="1"/>
    <col min="5" max="5" width="10.42578125" bestFit="1" customWidth="1"/>
    <col min="7" max="7" width="11.140625" bestFit="1" customWidth="1"/>
    <col min="8" max="10" width="10.140625" bestFit="1" customWidth="1"/>
    <col min="11" max="11" width="10.85546875" bestFit="1" customWidth="1"/>
    <col min="12" max="13" width="11.140625" bestFit="1" customWidth="1"/>
  </cols>
  <sheetData>
    <row r="1" spans="1:13" ht="16.5" thickBot="1" x14ac:dyDescent="0.3">
      <c r="A1" s="48" t="s">
        <v>7</v>
      </c>
      <c r="B1" s="48"/>
      <c r="C1" s="48"/>
      <c r="D1" s="48"/>
      <c r="E1" s="48"/>
    </row>
    <row r="2" spans="1:13" ht="13.5" thickBot="1" x14ac:dyDescent="0.25">
      <c r="A2" s="4" t="s">
        <v>5</v>
      </c>
      <c r="B2" s="8"/>
      <c r="C2" s="5"/>
      <c r="D2" s="5"/>
      <c r="E2" s="23">
        <v>0.05</v>
      </c>
      <c r="G2" t="s">
        <v>8</v>
      </c>
      <c r="H2" s="24">
        <v>45146</v>
      </c>
      <c r="I2" s="24"/>
      <c r="J2" s="24"/>
      <c r="K2" s="24"/>
    </row>
    <row r="3" spans="1:13" ht="15.75" x14ac:dyDescent="0.25">
      <c r="A3" s="15" t="s">
        <v>2</v>
      </c>
      <c r="B3" s="16" t="s">
        <v>3</v>
      </c>
      <c r="C3" s="17" t="s">
        <v>0</v>
      </c>
      <c r="D3" s="17" t="s">
        <v>1</v>
      </c>
      <c r="E3" s="18" t="s">
        <v>4</v>
      </c>
    </row>
    <row r="4" spans="1:13" x14ac:dyDescent="0.2">
      <c r="A4" s="3">
        <v>44324</v>
      </c>
      <c r="B4" s="14" t="s">
        <v>6</v>
      </c>
      <c r="C4" s="2">
        <v>12500</v>
      </c>
      <c r="D4" s="2">
        <v>0</v>
      </c>
      <c r="E4" s="9">
        <v>12500</v>
      </c>
    </row>
    <row r="5" spans="1:13" x14ac:dyDescent="0.2">
      <c r="A5" s="19">
        <v>44347</v>
      </c>
      <c r="B5" s="20" t="s">
        <v>9</v>
      </c>
      <c r="C5" s="21">
        <v>31</v>
      </c>
      <c r="D5" s="21">
        <v>0</v>
      </c>
      <c r="E5" s="22">
        <f t="shared" ref="E5:E36" si="0">SUM(E4+C5-D5)</f>
        <v>12531</v>
      </c>
      <c r="G5" s="1"/>
      <c r="H5" s="1"/>
      <c r="I5" s="1"/>
      <c r="J5" s="1"/>
      <c r="K5" s="1"/>
    </row>
    <row r="6" spans="1:13" x14ac:dyDescent="0.2">
      <c r="A6" s="19">
        <v>44377</v>
      </c>
      <c r="B6" s="20" t="s">
        <v>9</v>
      </c>
      <c r="C6" s="21">
        <v>31</v>
      </c>
      <c r="D6" s="21">
        <v>0</v>
      </c>
      <c r="E6" s="22">
        <f t="shared" si="0"/>
        <v>12562</v>
      </c>
      <c r="G6" s="6"/>
      <c r="H6" s="6"/>
      <c r="I6" s="6"/>
      <c r="J6" s="6"/>
      <c r="K6" s="6"/>
    </row>
    <row r="7" spans="1:13" ht="13.5" thickBot="1" x14ac:dyDescent="0.25">
      <c r="A7" s="25">
        <v>44408</v>
      </c>
      <c r="B7" s="26" t="s">
        <v>9</v>
      </c>
      <c r="C7" s="27">
        <v>31</v>
      </c>
      <c r="D7" s="27">
        <v>0</v>
      </c>
      <c r="E7" s="28">
        <f t="shared" si="0"/>
        <v>12593</v>
      </c>
      <c r="G7" s="1"/>
      <c r="H7" s="1">
        <f>+E7*E2</f>
        <v>629.65000000000009</v>
      </c>
      <c r="I7" s="1">
        <f>+H7/12</f>
        <v>52.470833333333339</v>
      </c>
      <c r="J7" s="1"/>
      <c r="K7" s="1"/>
    </row>
    <row r="8" spans="1:13" x14ac:dyDescent="0.2">
      <c r="A8" s="33">
        <v>44439</v>
      </c>
      <c r="B8" s="45" t="s">
        <v>9</v>
      </c>
      <c r="C8" s="35">
        <v>53</v>
      </c>
      <c r="D8" s="35">
        <v>0</v>
      </c>
      <c r="E8" s="36">
        <f t="shared" si="0"/>
        <v>12646</v>
      </c>
      <c r="G8" s="1"/>
      <c r="H8" s="7"/>
      <c r="I8" s="7"/>
      <c r="J8" s="7"/>
      <c r="K8" s="7"/>
      <c r="L8" s="10"/>
    </row>
    <row r="9" spans="1:13" x14ac:dyDescent="0.2">
      <c r="A9" s="19">
        <v>44469</v>
      </c>
      <c r="B9" s="20" t="s">
        <v>9</v>
      </c>
      <c r="C9" s="21">
        <v>53</v>
      </c>
      <c r="D9" s="21">
        <v>0</v>
      </c>
      <c r="E9" s="22">
        <f t="shared" si="0"/>
        <v>12699</v>
      </c>
      <c r="G9" s="1"/>
    </row>
    <row r="10" spans="1:13" x14ac:dyDescent="0.2">
      <c r="A10" s="19">
        <v>44500</v>
      </c>
      <c r="B10" s="20" t="s">
        <v>9</v>
      </c>
      <c r="C10" s="21">
        <v>53</v>
      </c>
      <c r="D10" s="21">
        <v>0</v>
      </c>
      <c r="E10" s="22">
        <f t="shared" si="0"/>
        <v>12752</v>
      </c>
      <c r="G10" s="1"/>
      <c r="H10" s="1">
        <v>53</v>
      </c>
      <c r="I10" s="1"/>
      <c r="J10" s="1"/>
      <c r="K10" s="1"/>
      <c r="L10" s="1"/>
    </row>
    <row r="11" spans="1:13" x14ac:dyDescent="0.2">
      <c r="A11" s="19">
        <v>44530</v>
      </c>
      <c r="B11" s="20" t="s">
        <v>9</v>
      </c>
      <c r="C11" s="21">
        <v>53</v>
      </c>
      <c r="D11" s="21">
        <v>0</v>
      </c>
      <c r="E11" s="22">
        <f t="shared" si="0"/>
        <v>12805</v>
      </c>
      <c r="G11" s="6"/>
      <c r="H11" s="6">
        <v>53</v>
      </c>
      <c r="I11" s="6"/>
      <c r="J11" s="6"/>
      <c r="K11" s="6"/>
      <c r="L11" s="6"/>
    </row>
    <row r="12" spans="1:13" x14ac:dyDescent="0.2">
      <c r="A12" s="19">
        <v>44561</v>
      </c>
      <c r="B12" s="20" t="s">
        <v>9</v>
      </c>
      <c r="C12" s="21">
        <v>53</v>
      </c>
      <c r="D12" s="21">
        <v>0</v>
      </c>
      <c r="E12" s="22">
        <f t="shared" si="0"/>
        <v>12858</v>
      </c>
      <c r="G12" s="1"/>
      <c r="H12" s="1">
        <v>54</v>
      </c>
      <c r="I12" s="1"/>
      <c r="J12" s="1"/>
      <c r="K12" s="1"/>
      <c r="L12" s="1"/>
    </row>
    <row r="13" spans="1:13" x14ac:dyDescent="0.2">
      <c r="A13" s="19">
        <v>44592</v>
      </c>
      <c r="B13" s="20" t="s">
        <v>9</v>
      </c>
      <c r="C13" s="21">
        <v>53</v>
      </c>
      <c r="D13" s="21">
        <v>0</v>
      </c>
      <c r="E13" s="22">
        <f t="shared" si="0"/>
        <v>12911</v>
      </c>
      <c r="G13" s="11"/>
      <c r="H13" s="11">
        <v>55</v>
      </c>
      <c r="I13" s="11"/>
      <c r="J13" s="11"/>
      <c r="K13" s="11"/>
      <c r="L13" s="7"/>
      <c r="M13" s="10"/>
    </row>
    <row r="14" spans="1:13" x14ac:dyDescent="0.2">
      <c r="A14" s="19">
        <v>44620</v>
      </c>
      <c r="B14" s="20" t="s">
        <v>9</v>
      </c>
      <c r="C14" s="21">
        <v>53</v>
      </c>
      <c r="D14" s="21">
        <v>0</v>
      </c>
      <c r="E14" s="22">
        <f t="shared" si="0"/>
        <v>12964</v>
      </c>
      <c r="H14" s="1">
        <f>SUM(H10:H13)</f>
        <v>215</v>
      </c>
    </row>
    <row r="15" spans="1:13" x14ac:dyDescent="0.2">
      <c r="A15" s="19">
        <v>44651</v>
      </c>
      <c r="B15" s="20" t="s">
        <v>9</v>
      </c>
      <c r="C15" s="21">
        <v>53</v>
      </c>
      <c r="D15" s="21">
        <v>0</v>
      </c>
      <c r="E15" s="22">
        <f t="shared" si="0"/>
        <v>13017</v>
      </c>
      <c r="H15" s="1"/>
      <c r="I15" s="1"/>
      <c r="J15" s="1"/>
      <c r="K15" s="1"/>
    </row>
    <row r="16" spans="1:13" x14ac:dyDescent="0.2">
      <c r="A16" s="19">
        <v>44681</v>
      </c>
      <c r="B16" s="20" t="s">
        <v>9</v>
      </c>
      <c r="C16" s="21">
        <v>53</v>
      </c>
      <c r="D16" s="21">
        <v>0</v>
      </c>
      <c r="E16" s="22">
        <f t="shared" si="0"/>
        <v>13070</v>
      </c>
      <c r="H16" s="6"/>
      <c r="I16" s="1"/>
      <c r="J16" s="6"/>
      <c r="K16" s="6"/>
    </row>
    <row r="17" spans="1:12" x14ac:dyDescent="0.2">
      <c r="A17" s="19">
        <v>44712</v>
      </c>
      <c r="B17" s="20" t="s">
        <v>9</v>
      </c>
      <c r="C17" s="21">
        <v>53</v>
      </c>
      <c r="D17" s="21">
        <v>0</v>
      </c>
      <c r="E17" s="22">
        <f t="shared" si="0"/>
        <v>13123</v>
      </c>
      <c r="H17" s="1"/>
      <c r="I17" s="1"/>
      <c r="J17" s="1"/>
      <c r="K17" s="1"/>
    </row>
    <row r="18" spans="1:12" x14ac:dyDescent="0.2">
      <c r="A18" s="19">
        <v>44742</v>
      </c>
      <c r="B18" s="20" t="s">
        <v>9</v>
      </c>
      <c r="C18" s="21">
        <v>53</v>
      </c>
      <c r="D18" s="21">
        <v>0</v>
      </c>
      <c r="E18" s="22">
        <f t="shared" si="0"/>
        <v>13176</v>
      </c>
      <c r="H18" s="11"/>
      <c r="I18" s="1"/>
      <c r="J18" s="11"/>
      <c r="K18" s="11"/>
      <c r="L18" s="12"/>
    </row>
    <row r="19" spans="1:12" ht="13.5" thickBot="1" x14ac:dyDescent="0.25">
      <c r="A19" s="37">
        <v>44773</v>
      </c>
      <c r="B19" s="38" t="s">
        <v>9</v>
      </c>
      <c r="C19" s="39">
        <v>53</v>
      </c>
      <c r="D19" s="39">
        <v>0</v>
      </c>
      <c r="E19" s="40">
        <f t="shared" si="0"/>
        <v>13229</v>
      </c>
      <c r="G19" s="1"/>
      <c r="H19" s="1"/>
      <c r="I19" s="1"/>
      <c r="J19" s="1"/>
      <c r="K19" s="1"/>
      <c r="L19" s="1"/>
    </row>
    <row r="20" spans="1:12" x14ac:dyDescent="0.2">
      <c r="A20" s="33">
        <v>44804</v>
      </c>
      <c r="B20" s="45" t="s">
        <v>9</v>
      </c>
      <c r="C20" s="35">
        <v>53</v>
      </c>
      <c r="D20" s="35">
        <v>0</v>
      </c>
      <c r="E20" s="36">
        <f t="shared" si="0"/>
        <v>13282</v>
      </c>
      <c r="G20" s="6"/>
      <c r="H20" s="6"/>
      <c r="I20" s="6"/>
      <c r="J20" s="6"/>
      <c r="K20" s="6"/>
      <c r="L20" s="6"/>
    </row>
    <row r="21" spans="1:12" x14ac:dyDescent="0.2">
      <c r="A21" s="19">
        <v>44834</v>
      </c>
      <c r="B21" s="20" t="s">
        <v>9</v>
      </c>
      <c r="C21" s="21">
        <v>53</v>
      </c>
      <c r="D21" s="21">
        <v>0</v>
      </c>
      <c r="E21" s="22">
        <f t="shared" si="0"/>
        <v>13335</v>
      </c>
      <c r="G21" s="1"/>
      <c r="H21" s="1"/>
      <c r="I21" s="1"/>
      <c r="J21" s="1"/>
      <c r="K21" s="1"/>
      <c r="L21" s="1"/>
    </row>
    <row r="22" spans="1:12" x14ac:dyDescent="0.2">
      <c r="A22" s="19">
        <v>44865</v>
      </c>
      <c r="B22" s="20" t="s">
        <v>9</v>
      </c>
      <c r="C22" s="21">
        <v>53</v>
      </c>
      <c r="D22" s="21">
        <v>0</v>
      </c>
      <c r="E22" s="22">
        <f t="shared" si="0"/>
        <v>13388</v>
      </c>
      <c r="G22" s="11"/>
      <c r="H22" s="11"/>
      <c r="I22" s="11"/>
      <c r="J22" s="11"/>
      <c r="K22" s="11"/>
      <c r="L22" s="11"/>
    </row>
    <row r="23" spans="1:12" x14ac:dyDescent="0.2">
      <c r="A23" s="19">
        <v>44895</v>
      </c>
      <c r="B23" s="20" t="s">
        <v>9</v>
      </c>
      <c r="C23" s="21">
        <v>53</v>
      </c>
      <c r="D23" s="21">
        <v>0</v>
      </c>
      <c r="E23" s="22">
        <f t="shared" si="0"/>
        <v>13441</v>
      </c>
      <c r="G23" s="11"/>
      <c r="H23" s="11"/>
      <c r="I23" s="11"/>
      <c r="J23" s="11"/>
      <c r="K23" s="12"/>
    </row>
    <row r="24" spans="1:12" x14ac:dyDescent="0.2">
      <c r="A24" s="19">
        <v>44926</v>
      </c>
      <c r="B24" s="20" t="s">
        <v>9</v>
      </c>
      <c r="C24" s="21">
        <v>53</v>
      </c>
      <c r="D24" s="21">
        <v>0</v>
      </c>
      <c r="E24" s="22">
        <f t="shared" si="0"/>
        <v>13494</v>
      </c>
      <c r="G24" s="1"/>
      <c r="H24" s="1"/>
      <c r="I24" s="1"/>
      <c r="J24" s="1"/>
      <c r="K24" s="1"/>
    </row>
    <row r="25" spans="1:12" x14ac:dyDescent="0.2">
      <c r="A25" s="19">
        <v>44957</v>
      </c>
      <c r="B25" s="20" t="s">
        <v>9</v>
      </c>
      <c r="C25" s="21">
        <v>53</v>
      </c>
      <c r="D25" s="21">
        <v>0</v>
      </c>
      <c r="E25" s="22">
        <f t="shared" si="0"/>
        <v>13547</v>
      </c>
      <c r="G25" s="1"/>
      <c r="H25" s="1"/>
      <c r="I25" s="6"/>
      <c r="J25" s="6"/>
      <c r="K25" s="6"/>
    </row>
    <row r="26" spans="1:12" x14ac:dyDescent="0.2">
      <c r="A26" s="19">
        <v>44985</v>
      </c>
      <c r="B26" s="20" t="s">
        <v>9</v>
      </c>
      <c r="C26" s="21">
        <v>53</v>
      </c>
      <c r="D26" s="21">
        <v>0</v>
      </c>
      <c r="E26" s="22">
        <f t="shared" si="0"/>
        <v>13600</v>
      </c>
      <c r="G26" s="6"/>
      <c r="H26" s="6"/>
      <c r="I26" s="1"/>
      <c r="J26" s="1"/>
      <c r="K26" s="1"/>
    </row>
    <row r="27" spans="1:12" x14ac:dyDescent="0.2">
      <c r="A27" s="19">
        <v>45016</v>
      </c>
      <c r="B27" s="20" t="s">
        <v>9</v>
      </c>
      <c r="C27" s="21">
        <v>53</v>
      </c>
      <c r="D27" s="21">
        <v>0</v>
      </c>
      <c r="E27" s="22">
        <f t="shared" si="0"/>
        <v>13653</v>
      </c>
      <c r="G27" s="1"/>
      <c r="H27" s="1"/>
      <c r="I27" s="1"/>
      <c r="J27" s="1"/>
      <c r="K27" s="11"/>
    </row>
    <row r="28" spans="1:12" x14ac:dyDescent="0.2">
      <c r="A28" s="19">
        <v>45046</v>
      </c>
      <c r="B28" s="20" t="s">
        <v>9</v>
      </c>
      <c r="C28" s="21">
        <v>53</v>
      </c>
      <c r="D28" s="21">
        <v>0</v>
      </c>
      <c r="E28" s="22">
        <f t="shared" si="0"/>
        <v>13706</v>
      </c>
      <c r="G28" s="6"/>
      <c r="H28" s="6"/>
      <c r="I28" s="6"/>
      <c r="J28" s="6"/>
    </row>
    <row r="29" spans="1:12" x14ac:dyDescent="0.2">
      <c r="A29" s="19">
        <v>45046</v>
      </c>
      <c r="B29" s="20" t="s">
        <v>9</v>
      </c>
      <c r="C29" s="21">
        <v>53</v>
      </c>
      <c r="D29" s="21">
        <v>0</v>
      </c>
      <c r="E29" s="22">
        <f t="shared" si="0"/>
        <v>13759</v>
      </c>
      <c r="G29" s="1"/>
      <c r="H29" s="1"/>
      <c r="I29" s="1"/>
      <c r="J29" s="1"/>
    </row>
    <row r="30" spans="1:12" x14ac:dyDescent="0.2">
      <c r="A30" s="19">
        <v>45107</v>
      </c>
      <c r="B30" s="20" t="s">
        <v>9</v>
      </c>
      <c r="C30" s="21">
        <v>53</v>
      </c>
      <c r="D30" s="21">
        <v>0</v>
      </c>
      <c r="E30" s="22">
        <f t="shared" si="0"/>
        <v>13812</v>
      </c>
      <c r="G30" s="11"/>
      <c r="H30" s="11"/>
      <c r="I30" s="11"/>
      <c r="J30" s="11"/>
      <c r="K30" s="12"/>
    </row>
    <row r="31" spans="1:12" ht="13.5" thickBot="1" x14ac:dyDescent="0.25">
      <c r="A31" s="37">
        <v>45138</v>
      </c>
      <c r="B31" s="38" t="s">
        <v>9</v>
      </c>
      <c r="C31" s="39">
        <v>53</v>
      </c>
      <c r="D31" s="39">
        <v>0</v>
      </c>
      <c r="E31" s="40">
        <f t="shared" si="0"/>
        <v>13865</v>
      </c>
    </row>
    <row r="32" spans="1:12" x14ac:dyDescent="0.2">
      <c r="A32" s="33">
        <v>45169</v>
      </c>
      <c r="B32" s="45" t="s">
        <v>9</v>
      </c>
      <c r="C32" s="35">
        <v>58</v>
      </c>
      <c r="D32" s="35">
        <v>0</v>
      </c>
      <c r="E32" s="36">
        <f t="shared" si="0"/>
        <v>13923</v>
      </c>
      <c r="G32" s="1"/>
      <c r="H32" s="1"/>
    </row>
    <row r="33" spans="1:9" x14ac:dyDescent="0.2">
      <c r="A33" s="19">
        <v>45199</v>
      </c>
      <c r="B33" s="20" t="s">
        <v>9</v>
      </c>
      <c r="C33" s="21">
        <v>58</v>
      </c>
      <c r="D33" s="21">
        <v>0</v>
      </c>
      <c r="E33" s="22">
        <f t="shared" si="0"/>
        <v>13981</v>
      </c>
      <c r="G33" s="6"/>
      <c r="H33" s="13"/>
    </row>
    <row r="34" spans="1:9" x14ac:dyDescent="0.2">
      <c r="A34" s="19">
        <v>45230</v>
      </c>
      <c r="B34" s="20" t="s">
        <v>9</v>
      </c>
      <c r="C34" s="21">
        <v>58</v>
      </c>
      <c r="D34" s="21">
        <v>0</v>
      </c>
      <c r="E34" s="22">
        <f t="shared" si="0"/>
        <v>14039</v>
      </c>
      <c r="G34" s="1"/>
      <c r="H34" s="13"/>
    </row>
    <row r="35" spans="1:9" x14ac:dyDescent="0.2">
      <c r="A35" s="19">
        <v>45260</v>
      </c>
      <c r="B35" s="20" t="s">
        <v>9</v>
      </c>
      <c r="C35" s="21">
        <v>58</v>
      </c>
      <c r="D35" s="21">
        <v>0</v>
      </c>
      <c r="E35" s="22">
        <f t="shared" si="0"/>
        <v>14097</v>
      </c>
      <c r="G35" s="1"/>
      <c r="H35" s="1"/>
      <c r="I35" s="12"/>
    </row>
    <row r="36" spans="1:9" x14ac:dyDescent="0.2">
      <c r="A36" s="19">
        <v>45291</v>
      </c>
      <c r="B36" s="20" t="s">
        <v>9</v>
      </c>
      <c r="C36" s="21">
        <v>58</v>
      </c>
      <c r="D36" s="21">
        <v>0</v>
      </c>
      <c r="E36" s="22">
        <f t="shared" si="0"/>
        <v>14155</v>
      </c>
      <c r="G36" s="6"/>
      <c r="H36" s="6"/>
    </row>
    <row r="37" spans="1:9" x14ac:dyDescent="0.2">
      <c r="A37" s="19">
        <v>45322</v>
      </c>
      <c r="B37" s="20" t="s">
        <v>9</v>
      </c>
      <c r="C37" s="21">
        <v>58</v>
      </c>
      <c r="D37" s="21">
        <v>0</v>
      </c>
      <c r="E37" s="22">
        <f t="shared" ref="E37:E84" si="1">SUM(E36+C37-D37)</f>
        <v>14213</v>
      </c>
      <c r="G37" s="1"/>
      <c r="H37" s="1"/>
    </row>
    <row r="38" spans="1:9" x14ac:dyDescent="0.2">
      <c r="A38" s="19">
        <v>45351</v>
      </c>
      <c r="B38" s="20" t="s">
        <v>9</v>
      </c>
      <c r="C38" s="21">
        <v>58</v>
      </c>
      <c r="D38" s="21">
        <v>0</v>
      </c>
      <c r="E38" s="22">
        <f t="shared" si="1"/>
        <v>14271</v>
      </c>
      <c r="G38" s="6"/>
      <c r="H38" s="6"/>
      <c r="I38" s="12"/>
    </row>
    <row r="39" spans="1:9" x14ac:dyDescent="0.2">
      <c r="A39" s="19">
        <v>45382</v>
      </c>
      <c r="B39" s="20" t="s">
        <v>9</v>
      </c>
      <c r="C39" s="21">
        <v>58</v>
      </c>
      <c r="D39" s="21">
        <v>0</v>
      </c>
      <c r="E39" s="22">
        <f t="shared" si="1"/>
        <v>14329</v>
      </c>
      <c r="G39" s="1"/>
      <c r="H39" s="1"/>
    </row>
    <row r="40" spans="1:9" x14ac:dyDescent="0.2">
      <c r="A40" s="19">
        <v>45412</v>
      </c>
      <c r="B40" s="20" t="s">
        <v>9</v>
      </c>
      <c r="C40" s="21">
        <v>58</v>
      </c>
      <c r="D40" s="21">
        <v>0</v>
      </c>
      <c r="E40" s="22">
        <f t="shared" si="1"/>
        <v>14387</v>
      </c>
      <c r="G40" s="6"/>
      <c r="H40" s="11"/>
      <c r="I40" s="12"/>
    </row>
    <row r="41" spans="1:9" x14ac:dyDescent="0.2">
      <c r="A41" s="19">
        <v>45443</v>
      </c>
      <c r="B41" s="20" t="s">
        <v>9</v>
      </c>
      <c r="C41" s="21">
        <v>58</v>
      </c>
      <c r="D41" s="21">
        <v>0</v>
      </c>
      <c r="E41" s="22">
        <f t="shared" si="1"/>
        <v>14445</v>
      </c>
      <c r="G41" s="1"/>
    </row>
    <row r="42" spans="1:9" x14ac:dyDescent="0.2">
      <c r="A42" s="19">
        <v>45473</v>
      </c>
      <c r="B42" s="20" t="s">
        <v>9</v>
      </c>
      <c r="C42" s="21">
        <v>58</v>
      </c>
      <c r="D42" s="21">
        <v>0</v>
      </c>
      <c r="E42" s="22">
        <f t="shared" si="1"/>
        <v>14503</v>
      </c>
      <c r="G42" s="11"/>
    </row>
    <row r="43" spans="1:9" ht="13.5" thickBot="1" x14ac:dyDescent="0.25">
      <c r="A43" s="37">
        <v>45504</v>
      </c>
      <c r="B43" s="38" t="s">
        <v>9</v>
      </c>
      <c r="C43" s="39">
        <v>58</v>
      </c>
      <c r="D43" s="39">
        <v>0</v>
      </c>
      <c r="E43" s="40">
        <f t="shared" si="1"/>
        <v>14561</v>
      </c>
    </row>
    <row r="44" spans="1:9" x14ac:dyDescent="0.2">
      <c r="A44" s="33">
        <v>45534</v>
      </c>
      <c r="B44" s="45" t="s">
        <v>9</v>
      </c>
      <c r="C44" s="35">
        <v>60</v>
      </c>
      <c r="D44" s="35">
        <v>0</v>
      </c>
      <c r="E44" s="36">
        <f t="shared" si="1"/>
        <v>14621</v>
      </c>
      <c r="F44">
        <f>+E44*0.05</f>
        <v>731.05000000000007</v>
      </c>
    </row>
    <row r="45" spans="1:9" x14ac:dyDescent="0.2">
      <c r="A45" s="19">
        <v>45565</v>
      </c>
      <c r="B45" s="20" t="s">
        <v>9</v>
      </c>
      <c r="C45" s="21">
        <v>60</v>
      </c>
      <c r="D45" s="21">
        <v>0</v>
      </c>
      <c r="E45" s="22">
        <f t="shared" si="1"/>
        <v>14681</v>
      </c>
      <c r="F45">
        <f>+F44/12</f>
        <v>60.920833333333341</v>
      </c>
    </row>
    <row r="46" spans="1:9" x14ac:dyDescent="0.2">
      <c r="A46" s="19">
        <v>45596</v>
      </c>
      <c r="B46" s="20" t="s">
        <v>9</v>
      </c>
      <c r="C46" s="21">
        <v>60</v>
      </c>
      <c r="D46" s="21">
        <v>0</v>
      </c>
      <c r="E46" s="22">
        <f t="shared" si="1"/>
        <v>14741</v>
      </c>
    </row>
    <row r="47" spans="1:9" x14ac:dyDescent="0.2">
      <c r="A47" s="46">
        <v>45626</v>
      </c>
      <c r="B47" s="20" t="s">
        <v>9</v>
      </c>
      <c r="C47" s="21">
        <v>60</v>
      </c>
      <c r="D47" s="21">
        <v>0</v>
      </c>
      <c r="E47" s="22">
        <f t="shared" si="1"/>
        <v>14801</v>
      </c>
    </row>
    <row r="48" spans="1:9" x14ac:dyDescent="0.2">
      <c r="A48" s="19">
        <v>45656</v>
      </c>
      <c r="B48" s="20" t="s">
        <v>9</v>
      </c>
      <c r="C48" s="21">
        <v>60</v>
      </c>
      <c r="D48" s="21">
        <v>0</v>
      </c>
      <c r="E48" s="22">
        <f t="shared" si="1"/>
        <v>14861</v>
      </c>
    </row>
    <row r="49" spans="1:8" x14ac:dyDescent="0.2">
      <c r="A49" s="19">
        <v>45688</v>
      </c>
      <c r="B49" s="20" t="s">
        <v>9</v>
      </c>
      <c r="C49" s="21">
        <v>60</v>
      </c>
      <c r="D49" s="21">
        <v>0</v>
      </c>
      <c r="E49" s="22">
        <f t="shared" si="1"/>
        <v>14921</v>
      </c>
    </row>
    <row r="50" spans="1:8" x14ac:dyDescent="0.2">
      <c r="A50" s="19">
        <v>45716</v>
      </c>
      <c r="B50" s="20" t="s">
        <v>9</v>
      </c>
      <c r="C50" s="21">
        <v>60</v>
      </c>
      <c r="D50" s="21">
        <v>0</v>
      </c>
      <c r="E50" s="22">
        <f t="shared" si="1"/>
        <v>14981</v>
      </c>
    </row>
    <row r="51" spans="1:8" x14ac:dyDescent="0.2">
      <c r="A51" s="19">
        <v>45747</v>
      </c>
      <c r="B51" s="20" t="s">
        <v>9</v>
      </c>
      <c r="C51" s="21">
        <v>60</v>
      </c>
      <c r="D51" s="21">
        <v>0</v>
      </c>
      <c r="E51" s="22">
        <f t="shared" si="1"/>
        <v>15041</v>
      </c>
    </row>
    <row r="52" spans="1:8" x14ac:dyDescent="0.2">
      <c r="A52" s="19">
        <v>45777</v>
      </c>
      <c r="B52" s="20" t="s">
        <v>9</v>
      </c>
      <c r="C52" s="21">
        <v>60</v>
      </c>
      <c r="D52" s="21">
        <v>0</v>
      </c>
      <c r="E52" s="22">
        <f t="shared" si="1"/>
        <v>15101</v>
      </c>
      <c r="G52" s="1"/>
      <c r="H52" s="1"/>
    </row>
    <row r="53" spans="1:8" x14ac:dyDescent="0.2">
      <c r="A53" s="19">
        <v>45807</v>
      </c>
      <c r="B53" s="20" t="s">
        <v>9</v>
      </c>
      <c r="C53" s="21">
        <v>60</v>
      </c>
      <c r="D53" s="21">
        <v>0</v>
      </c>
      <c r="E53" s="22">
        <f t="shared" si="1"/>
        <v>15161</v>
      </c>
    </row>
    <row r="54" spans="1:8" x14ac:dyDescent="0.2">
      <c r="A54" s="19">
        <v>45838</v>
      </c>
      <c r="B54" s="20" t="s">
        <v>9</v>
      </c>
      <c r="C54" s="21">
        <v>60</v>
      </c>
      <c r="D54" s="21">
        <v>0</v>
      </c>
      <c r="E54" s="22">
        <f t="shared" si="1"/>
        <v>15221</v>
      </c>
    </row>
    <row r="55" spans="1:8" ht="13.5" thickBot="1" x14ac:dyDescent="0.25">
      <c r="A55" s="37">
        <v>45869</v>
      </c>
      <c r="B55" s="38" t="s">
        <v>9</v>
      </c>
      <c r="C55" s="39">
        <v>60</v>
      </c>
      <c r="D55" s="39">
        <v>0</v>
      </c>
      <c r="E55" s="40">
        <f t="shared" si="1"/>
        <v>15281</v>
      </c>
    </row>
    <row r="56" spans="1:8" x14ac:dyDescent="0.2">
      <c r="A56" s="19">
        <v>45900</v>
      </c>
      <c r="B56" s="20" t="s">
        <v>9</v>
      </c>
      <c r="C56" s="21">
        <v>64</v>
      </c>
      <c r="D56" s="21">
        <v>0</v>
      </c>
      <c r="E56" s="22">
        <f t="shared" si="1"/>
        <v>15345</v>
      </c>
      <c r="F56">
        <f>+E56*0.05</f>
        <v>767.25</v>
      </c>
    </row>
    <row r="57" spans="1:8" x14ac:dyDescent="0.2">
      <c r="A57" s="19">
        <v>45930</v>
      </c>
      <c r="B57" s="20" t="s">
        <v>9</v>
      </c>
      <c r="C57" s="21">
        <v>64</v>
      </c>
      <c r="D57" s="21">
        <v>0</v>
      </c>
      <c r="E57" s="22">
        <f t="shared" si="1"/>
        <v>15409</v>
      </c>
      <c r="F57">
        <f>+F56/12</f>
        <v>63.9375</v>
      </c>
    </row>
    <row r="58" spans="1:8" x14ac:dyDescent="0.2">
      <c r="A58" s="19">
        <v>45961</v>
      </c>
      <c r="B58" s="20" t="s">
        <v>9</v>
      </c>
      <c r="C58" s="21">
        <v>64</v>
      </c>
      <c r="D58" s="21">
        <v>0</v>
      </c>
      <c r="E58" s="22">
        <f t="shared" si="1"/>
        <v>15473</v>
      </c>
    </row>
    <row r="59" spans="1:8" x14ac:dyDescent="0.2">
      <c r="A59" s="46">
        <v>45991</v>
      </c>
      <c r="B59" s="20" t="s">
        <v>9</v>
      </c>
      <c r="C59" s="21">
        <v>64</v>
      </c>
      <c r="D59" s="21">
        <v>0</v>
      </c>
      <c r="E59" s="22">
        <f t="shared" si="1"/>
        <v>15537</v>
      </c>
    </row>
    <row r="60" spans="1:8" x14ac:dyDescent="0.2">
      <c r="A60" s="19">
        <v>46022</v>
      </c>
      <c r="B60" s="20" t="s">
        <v>9</v>
      </c>
      <c r="C60" s="21">
        <v>64</v>
      </c>
      <c r="D60" s="21">
        <v>0</v>
      </c>
      <c r="E60" s="22">
        <f t="shared" si="1"/>
        <v>15601</v>
      </c>
    </row>
    <row r="61" spans="1:8" x14ac:dyDescent="0.2">
      <c r="A61" s="19">
        <v>46053</v>
      </c>
      <c r="B61" s="20" t="s">
        <v>9</v>
      </c>
      <c r="C61" s="21">
        <v>64</v>
      </c>
      <c r="D61" s="21">
        <v>0</v>
      </c>
      <c r="E61" s="22">
        <f t="shared" si="1"/>
        <v>15665</v>
      </c>
    </row>
    <row r="62" spans="1:8" x14ac:dyDescent="0.2">
      <c r="A62" s="19">
        <v>46081</v>
      </c>
      <c r="B62" s="20" t="s">
        <v>9</v>
      </c>
      <c r="C62" s="21">
        <v>64</v>
      </c>
      <c r="D62" s="21">
        <v>0</v>
      </c>
      <c r="E62" s="22">
        <f t="shared" si="1"/>
        <v>15729</v>
      </c>
    </row>
    <row r="63" spans="1:8" x14ac:dyDescent="0.2">
      <c r="A63" s="19">
        <v>46112</v>
      </c>
      <c r="B63" s="20" t="s">
        <v>9</v>
      </c>
      <c r="C63" s="21">
        <v>64</v>
      </c>
      <c r="D63" s="21">
        <v>0</v>
      </c>
      <c r="E63" s="22">
        <f t="shared" si="1"/>
        <v>15793</v>
      </c>
    </row>
    <row r="64" spans="1:8" x14ac:dyDescent="0.2">
      <c r="A64" s="19">
        <v>46142</v>
      </c>
      <c r="B64" s="20" t="s">
        <v>9</v>
      </c>
      <c r="C64" s="21">
        <v>64</v>
      </c>
      <c r="D64" s="21">
        <v>0</v>
      </c>
      <c r="E64" s="22">
        <f t="shared" si="1"/>
        <v>15857</v>
      </c>
    </row>
    <row r="65" spans="1:5" x14ac:dyDescent="0.2">
      <c r="A65" s="19"/>
      <c r="B65" s="20"/>
      <c r="C65" s="21">
        <v>0</v>
      </c>
      <c r="D65" s="21">
        <v>0</v>
      </c>
      <c r="E65" s="22">
        <f t="shared" si="1"/>
        <v>15857</v>
      </c>
    </row>
    <row r="66" spans="1:5" x14ac:dyDescent="0.2">
      <c r="A66" s="19"/>
      <c r="B66" s="20"/>
      <c r="C66" s="21">
        <v>0</v>
      </c>
      <c r="D66" s="21">
        <v>0</v>
      </c>
      <c r="E66" s="22">
        <f t="shared" si="1"/>
        <v>15857</v>
      </c>
    </row>
    <row r="67" spans="1:5" x14ac:dyDescent="0.2">
      <c r="A67" s="19"/>
      <c r="B67" s="20"/>
      <c r="C67" s="21">
        <v>0</v>
      </c>
      <c r="D67" s="21">
        <v>0</v>
      </c>
      <c r="E67" s="22">
        <f t="shared" si="1"/>
        <v>15857</v>
      </c>
    </row>
    <row r="68" spans="1:5" x14ac:dyDescent="0.2">
      <c r="A68" s="19"/>
      <c r="B68" s="20"/>
      <c r="C68" s="21">
        <v>0</v>
      </c>
      <c r="D68" s="21">
        <v>0</v>
      </c>
      <c r="E68" s="22">
        <f t="shared" si="1"/>
        <v>15857</v>
      </c>
    </row>
    <row r="69" spans="1:5" x14ac:dyDescent="0.2">
      <c r="A69" s="19"/>
      <c r="B69" s="20"/>
      <c r="C69" s="21">
        <v>0</v>
      </c>
      <c r="D69" s="21">
        <v>0</v>
      </c>
      <c r="E69" s="22">
        <f t="shared" si="1"/>
        <v>15857</v>
      </c>
    </row>
    <row r="70" spans="1:5" x14ac:dyDescent="0.2">
      <c r="A70" s="19"/>
      <c r="B70" s="20"/>
      <c r="C70" s="21">
        <v>0</v>
      </c>
      <c r="D70" s="21">
        <v>0</v>
      </c>
      <c r="E70" s="22">
        <f t="shared" si="1"/>
        <v>15857</v>
      </c>
    </row>
    <row r="71" spans="1:5" x14ac:dyDescent="0.2">
      <c r="A71" s="19"/>
      <c r="B71" s="20"/>
      <c r="C71" s="21">
        <v>0</v>
      </c>
      <c r="D71" s="21">
        <v>0</v>
      </c>
      <c r="E71" s="22">
        <f t="shared" si="1"/>
        <v>15857</v>
      </c>
    </row>
    <row r="72" spans="1:5" x14ac:dyDescent="0.2">
      <c r="A72" s="19"/>
      <c r="B72" s="20"/>
      <c r="C72" s="21">
        <v>0</v>
      </c>
      <c r="D72" s="21">
        <v>0</v>
      </c>
      <c r="E72" s="22">
        <f t="shared" si="1"/>
        <v>15857</v>
      </c>
    </row>
    <row r="73" spans="1:5" x14ac:dyDescent="0.2">
      <c r="A73" s="19"/>
      <c r="B73" s="20"/>
      <c r="C73" s="21">
        <v>0</v>
      </c>
      <c r="D73" s="21">
        <v>0</v>
      </c>
      <c r="E73" s="22">
        <f t="shared" si="1"/>
        <v>15857</v>
      </c>
    </row>
    <row r="74" spans="1:5" x14ac:dyDescent="0.2">
      <c r="A74" s="19"/>
      <c r="B74" s="20"/>
      <c r="C74" s="21">
        <v>0</v>
      </c>
      <c r="D74" s="21">
        <v>0</v>
      </c>
      <c r="E74" s="22">
        <f t="shared" si="1"/>
        <v>15857</v>
      </c>
    </row>
    <row r="75" spans="1:5" x14ac:dyDescent="0.2">
      <c r="A75" s="19"/>
      <c r="B75" s="20"/>
      <c r="C75" s="21">
        <v>0</v>
      </c>
      <c r="D75" s="21">
        <v>0</v>
      </c>
      <c r="E75" s="22">
        <f t="shared" si="1"/>
        <v>15857</v>
      </c>
    </row>
    <row r="76" spans="1:5" x14ac:dyDescent="0.2">
      <c r="A76" s="19"/>
      <c r="B76" s="20"/>
      <c r="C76" s="21">
        <v>0</v>
      </c>
      <c r="D76" s="21">
        <v>0</v>
      </c>
      <c r="E76" s="22">
        <f t="shared" si="1"/>
        <v>15857</v>
      </c>
    </row>
    <row r="77" spans="1:5" x14ac:dyDescent="0.2">
      <c r="A77" s="19"/>
      <c r="B77" s="20"/>
      <c r="C77" s="21">
        <v>0</v>
      </c>
      <c r="D77" s="21">
        <v>0</v>
      </c>
      <c r="E77" s="22">
        <f t="shared" si="1"/>
        <v>15857</v>
      </c>
    </row>
    <row r="78" spans="1:5" x14ac:dyDescent="0.2">
      <c r="A78" s="19"/>
      <c r="B78" s="20"/>
      <c r="C78" s="21">
        <v>0</v>
      </c>
      <c r="D78" s="21">
        <v>0</v>
      </c>
      <c r="E78" s="22">
        <f t="shared" si="1"/>
        <v>15857</v>
      </c>
    </row>
    <row r="79" spans="1:5" x14ac:dyDescent="0.2">
      <c r="A79" s="19"/>
      <c r="B79" s="20"/>
      <c r="C79" s="21">
        <v>0</v>
      </c>
      <c r="D79" s="21">
        <v>0</v>
      </c>
      <c r="E79" s="22">
        <f t="shared" si="1"/>
        <v>15857</v>
      </c>
    </row>
    <row r="80" spans="1:5" x14ac:dyDescent="0.2">
      <c r="A80" s="19"/>
      <c r="B80" s="20"/>
      <c r="C80" s="21">
        <v>0</v>
      </c>
      <c r="D80" s="21">
        <v>0</v>
      </c>
      <c r="E80" s="22">
        <f t="shared" si="1"/>
        <v>15857</v>
      </c>
    </row>
    <row r="81" spans="1:5" x14ac:dyDescent="0.2">
      <c r="A81" s="19"/>
      <c r="B81" s="20"/>
      <c r="C81" s="21">
        <v>0</v>
      </c>
      <c r="D81" s="21">
        <v>0</v>
      </c>
      <c r="E81" s="22">
        <f t="shared" si="1"/>
        <v>15857</v>
      </c>
    </row>
    <row r="82" spans="1:5" x14ac:dyDescent="0.2">
      <c r="A82" s="19"/>
      <c r="B82" s="20"/>
      <c r="C82" s="21">
        <v>0</v>
      </c>
      <c r="D82" s="21">
        <v>0</v>
      </c>
      <c r="E82" s="22">
        <f t="shared" si="1"/>
        <v>15857</v>
      </c>
    </row>
    <row r="83" spans="1:5" x14ac:dyDescent="0.2">
      <c r="A83" s="19"/>
      <c r="B83" s="20"/>
      <c r="C83" s="21">
        <v>0</v>
      </c>
      <c r="D83" s="21">
        <v>0</v>
      </c>
      <c r="E83" s="22">
        <f t="shared" si="1"/>
        <v>15857</v>
      </c>
    </row>
    <row r="84" spans="1:5" x14ac:dyDescent="0.2">
      <c r="A84" s="19"/>
      <c r="B84" s="20"/>
      <c r="C84" s="21">
        <v>0</v>
      </c>
      <c r="D84" s="21">
        <v>0</v>
      </c>
      <c r="E84" s="22">
        <f t="shared" si="1"/>
        <v>15857</v>
      </c>
    </row>
    <row r="85" spans="1:5" x14ac:dyDescent="0.2">
      <c r="A85" s="19"/>
      <c r="B85" s="20"/>
      <c r="C85" s="21">
        <v>0</v>
      </c>
      <c r="D85" s="21">
        <v>0</v>
      </c>
      <c r="E85" s="22">
        <f t="shared" ref="E85:E126" si="2">SUM(E84+C85-D85)</f>
        <v>15857</v>
      </c>
    </row>
    <row r="86" spans="1:5" x14ac:dyDescent="0.2">
      <c r="A86" s="19"/>
      <c r="B86" s="20"/>
      <c r="C86" s="21">
        <v>0</v>
      </c>
      <c r="D86" s="21">
        <v>0</v>
      </c>
      <c r="E86" s="22">
        <f t="shared" si="2"/>
        <v>15857</v>
      </c>
    </row>
    <row r="87" spans="1:5" x14ac:dyDescent="0.2">
      <c r="A87" s="19"/>
      <c r="B87" s="20"/>
      <c r="C87" s="21">
        <v>0</v>
      </c>
      <c r="D87" s="21">
        <v>0</v>
      </c>
      <c r="E87" s="22">
        <f t="shared" si="2"/>
        <v>15857</v>
      </c>
    </row>
    <row r="88" spans="1:5" x14ac:dyDescent="0.2">
      <c r="A88" s="19"/>
      <c r="B88" s="20"/>
      <c r="C88" s="21">
        <v>0</v>
      </c>
      <c r="D88" s="21">
        <v>0</v>
      </c>
      <c r="E88" s="22">
        <f t="shared" si="2"/>
        <v>15857</v>
      </c>
    </row>
    <row r="89" spans="1:5" x14ac:dyDescent="0.2">
      <c r="A89" s="19"/>
      <c r="B89" s="20"/>
      <c r="C89" s="21">
        <v>0</v>
      </c>
      <c r="D89" s="21">
        <v>0</v>
      </c>
      <c r="E89" s="22">
        <f t="shared" si="2"/>
        <v>15857</v>
      </c>
    </row>
    <row r="90" spans="1:5" x14ac:dyDescent="0.2">
      <c r="A90" s="19"/>
      <c r="B90" s="20"/>
      <c r="C90" s="21">
        <v>0</v>
      </c>
      <c r="D90" s="21">
        <v>0</v>
      </c>
      <c r="E90" s="22">
        <f t="shared" si="2"/>
        <v>15857</v>
      </c>
    </row>
    <row r="91" spans="1:5" x14ac:dyDescent="0.2">
      <c r="A91" s="19"/>
      <c r="B91" s="20"/>
      <c r="C91" s="21">
        <v>0</v>
      </c>
      <c r="D91" s="21">
        <v>0</v>
      </c>
      <c r="E91" s="22">
        <f t="shared" si="2"/>
        <v>15857</v>
      </c>
    </row>
    <row r="92" spans="1:5" x14ac:dyDescent="0.2">
      <c r="A92" s="19"/>
      <c r="B92" s="20"/>
      <c r="C92" s="21">
        <v>0</v>
      </c>
      <c r="D92" s="21">
        <v>0</v>
      </c>
      <c r="E92" s="22">
        <f t="shared" si="2"/>
        <v>15857</v>
      </c>
    </row>
    <row r="93" spans="1:5" x14ac:dyDescent="0.2">
      <c r="A93" s="19"/>
      <c r="B93" s="20"/>
      <c r="C93" s="21">
        <v>0</v>
      </c>
      <c r="D93" s="21">
        <v>0</v>
      </c>
      <c r="E93" s="22">
        <f t="shared" si="2"/>
        <v>15857</v>
      </c>
    </row>
    <row r="94" spans="1:5" x14ac:dyDescent="0.2">
      <c r="A94" s="19"/>
      <c r="B94" s="20"/>
      <c r="C94" s="21">
        <v>0</v>
      </c>
      <c r="D94" s="21">
        <v>0</v>
      </c>
      <c r="E94" s="22">
        <f t="shared" si="2"/>
        <v>15857</v>
      </c>
    </row>
    <row r="95" spans="1:5" x14ac:dyDescent="0.2">
      <c r="A95" s="19"/>
      <c r="B95" s="20"/>
      <c r="C95" s="21">
        <v>0</v>
      </c>
      <c r="D95" s="21">
        <v>0</v>
      </c>
      <c r="E95" s="22">
        <f t="shared" si="2"/>
        <v>15857</v>
      </c>
    </row>
    <row r="96" spans="1:5" x14ac:dyDescent="0.2">
      <c r="A96" s="19"/>
      <c r="B96" s="20"/>
      <c r="C96" s="21">
        <v>0</v>
      </c>
      <c r="D96" s="21">
        <v>0</v>
      </c>
      <c r="E96" s="22">
        <f t="shared" si="2"/>
        <v>15857</v>
      </c>
    </row>
    <row r="97" spans="1:5" x14ac:dyDescent="0.2">
      <c r="A97" s="19"/>
      <c r="B97" s="20"/>
      <c r="C97" s="21">
        <v>0</v>
      </c>
      <c r="D97" s="21">
        <v>0</v>
      </c>
      <c r="E97" s="22">
        <f t="shared" si="2"/>
        <v>15857</v>
      </c>
    </row>
    <row r="98" spans="1:5" x14ac:dyDescent="0.2">
      <c r="A98" s="19"/>
      <c r="B98" s="20"/>
      <c r="C98" s="21">
        <v>0</v>
      </c>
      <c r="D98" s="21">
        <v>0</v>
      </c>
      <c r="E98" s="22">
        <f t="shared" si="2"/>
        <v>15857</v>
      </c>
    </row>
    <row r="99" spans="1:5" x14ac:dyDescent="0.2">
      <c r="A99" s="19"/>
      <c r="B99" s="20"/>
      <c r="C99" s="21">
        <v>0</v>
      </c>
      <c r="D99" s="21">
        <v>0</v>
      </c>
      <c r="E99" s="22">
        <f t="shared" si="2"/>
        <v>15857</v>
      </c>
    </row>
    <row r="100" spans="1:5" x14ac:dyDescent="0.2">
      <c r="A100" s="19"/>
      <c r="B100" s="20"/>
      <c r="C100" s="21">
        <v>0</v>
      </c>
      <c r="D100" s="21">
        <v>0</v>
      </c>
      <c r="E100" s="22">
        <f t="shared" si="2"/>
        <v>15857</v>
      </c>
    </row>
    <row r="101" spans="1:5" x14ac:dyDescent="0.2">
      <c r="A101" s="19"/>
      <c r="B101" s="20"/>
      <c r="C101" s="21">
        <v>0</v>
      </c>
      <c r="D101" s="21">
        <v>0</v>
      </c>
      <c r="E101" s="22">
        <f t="shared" si="2"/>
        <v>15857</v>
      </c>
    </row>
    <row r="102" spans="1:5" x14ac:dyDescent="0.2">
      <c r="A102" s="19"/>
      <c r="B102" s="20"/>
      <c r="C102" s="21">
        <v>0</v>
      </c>
      <c r="D102" s="21">
        <v>0</v>
      </c>
      <c r="E102" s="22">
        <f t="shared" si="2"/>
        <v>15857</v>
      </c>
    </row>
    <row r="103" spans="1:5" x14ac:dyDescent="0.2">
      <c r="A103" s="19"/>
      <c r="B103" s="20"/>
      <c r="C103" s="21">
        <v>0</v>
      </c>
      <c r="D103" s="21">
        <v>0</v>
      </c>
      <c r="E103" s="22">
        <f t="shared" si="2"/>
        <v>15857</v>
      </c>
    </row>
    <row r="104" spans="1:5" x14ac:dyDescent="0.2">
      <c r="A104" s="19"/>
      <c r="B104" s="20"/>
      <c r="C104" s="21">
        <v>0</v>
      </c>
      <c r="D104" s="21">
        <v>0</v>
      </c>
      <c r="E104" s="22">
        <f t="shared" si="2"/>
        <v>15857</v>
      </c>
    </row>
    <row r="105" spans="1:5" x14ac:dyDescent="0.2">
      <c r="A105" s="19"/>
      <c r="B105" s="20"/>
      <c r="C105" s="21">
        <v>0</v>
      </c>
      <c r="D105" s="21">
        <v>0</v>
      </c>
      <c r="E105" s="22">
        <f t="shared" si="2"/>
        <v>15857</v>
      </c>
    </row>
    <row r="106" spans="1:5" x14ac:dyDescent="0.2">
      <c r="A106" s="19"/>
      <c r="B106" s="20"/>
      <c r="C106" s="21">
        <v>0</v>
      </c>
      <c r="D106" s="21">
        <v>0</v>
      </c>
      <c r="E106" s="22">
        <f t="shared" si="2"/>
        <v>15857</v>
      </c>
    </row>
    <row r="107" spans="1:5" x14ac:dyDescent="0.2">
      <c r="A107" s="19"/>
      <c r="B107" s="20"/>
      <c r="C107" s="21">
        <v>0</v>
      </c>
      <c r="D107" s="21">
        <v>0</v>
      </c>
      <c r="E107" s="22">
        <f t="shared" si="2"/>
        <v>15857</v>
      </c>
    </row>
    <row r="108" spans="1:5" x14ac:dyDescent="0.2">
      <c r="A108" s="19"/>
      <c r="B108" s="20"/>
      <c r="C108" s="21">
        <v>0</v>
      </c>
      <c r="D108" s="21">
        <v>0</v>
      </c>
      <c r="E108" s="22">
        <f t="shared" si="2"/>
        <v>15857</v>
      </c>
    </row>
    <row r="109" spans="1:5" x14ac:dyDescent="0.2">
      <c r="A109" s="19"/>
      <c r="B109" s="20"/>
      <c r="C109" s="21">
        <v>0</v>
      </c>
      <c r="D109" s="21">
        <v>0</v>
      </c>
      <c r="E109" s="22">
        <f t="shared" si="2"/>
        <v>15857</v>
      </c>
    </row>
    <row r="110" spans="1:5" x14ac:dyDescent="0.2">
      <c r="A110" s="19"/>
      <c r="B110" s="20"/>
      <c r="C110" s="21">
        <v>0</v>
      </c>
      <c r="D110" s="21">
        <v>0</v>
      </c>
      <c r="E110" s="22">
        <f t="shared" si="2"/>
        <v>15857</v>
      </c>
    </row>
    <row r="111" spans="1:5" x14ac:dyDescent="0.2">
      <c r="A111" s="19"/>
      <c r="B111" s="20"/>
      <c r="C111" s="21">
        <v>0</v>
      </c>
      <c r="D111" s="21">
        <v>0</v>
      </c>
      <c r="E111" s="22">
        <f t="shared" si="2"/>
        <v>15857</v>
      </c>
    </row>
    <row r="112" spans="1:5" x14ac:dyDescent="0.2">
      <c r="A112" s="19"/>
      <c r="B112" s="20"/>
      <c r="C112" s="21">
        <v>0</v>
      </c>
      <c r="D112" s="21">
        <v>0</v>
      </c>
      <c r="E112" s="22">
        <f t="shared" si="2"/>
        <v>15857</v>
      </c>
    </row>
    <row r="113" spans="1:5" x14ac:dyDescent="0.2">
      <c r="A113" s="19"/>
      <c r="B113" s="20"/>
      <c r="C113" s="21">
        <v>0</v>
      </c>
      <c r="D113" s="21">
        <v>0</v>
      </c>
      <c r="E113" s="22">
        <f t="shared" si="2"/>
        <v>15857</v>
      </c>
    </row>
    <row r="114" spans="1:5" x14ac:dyDescent="0.2">
      <c r="A114" s="19"/>
      <c r="B114" s="20"/>
      <c r="C114" s="21">
        <v>0</v>
      </c>
      <c r="D114" s="21">
        <v>0</v>
      </c>
      <c r="E114" s="22">
        <f t="shared" si="2"/>
        <v>15857</v>
      </c>
    </row>
    <row r="115" spans="1:5" x14ac:dyDescent="0.2">
      <c r="A115" s="19"/>
      <c r="B115" s="20"/>
      <c r="C115" s="21">
        <v>0</v>
      </c>
      <c r="D115" s="21">
        <v>0</v>
      </c>
      <c r="E115" s="22">
        <f t="shared" si="2"/>
        <v>15857</v>
      </c>
    </row>
    <row r="116" spans="1:5" x14ac:dyDescent="0.2">
      <c r="A116" s="19"/>
      <c r="B116" s="20"/>
      <c r="C116" s="21">
        <v>0</v>
      </c>
      <c r="D116" s="21">
        <v>0</v>
      </c>
      <c r="E116" s="22">
        <f t="shared" si="2"/>
        <v>15857</v>
      </c>
    </row>
    <row r="117" spans="1:5" x14ac:dyDescent="0.2">
      <c r="A117" s="19"/>
      <c r="B117" s="20"/>
      <c r="C117" s="21">
        <v>0</v>
      </c>
      <c r="D117" s="21">
        <v>0</v>
      </c>
      <c r="E117" s="22">
        <f t="shared" si="2"/>
        <v>15857</v>
      </c>
    </row>
    <row r="118" spans="1:5" x14ac:dyDescent="0.2">
      <c r="A118" s="19"/>
      <c r="B118" s="20"/>
      <c r="C118" s="21">
        <v>0</v>
      </c>
      <c r="D118" s="21">
        <v>0</v>
      </c>
      <c r="E118" s="22">
        <f t="shared" si="2"/>
        <v>15857</v>
      </c>
    </row>
    <row r="119" spans="1:5" x14ac:dyDescent="0.2">
      <c r="A119" s="19"/>
      <c r="B119" s="20"/>
      <c r="C119" s="21">
        <v>0</v>
      </c>
      <c r="D119" s="21">
        <v>0</v>
      </c>
      <c r="E119" s="22">
        <f t="shared" si="2"/>
        <v>15857</v>
      </c>
    </row>
    <row r="120" spans="1:5" x14ac:dyDescent="0.2">
      <c r="A120" s="19"/>
      <c r="B120" s="20"/>
      <c r="C120" s="21">
        <v>0</v>
      </c>
      <c r="D120" s="21">
        <v>0</v>
      </c>
      <c r="E120" s="22">
        <f t="shared" si="2"/>
        <v>15857</v>
      </c>
    </row>
    <row r="121" spans="1:5" x14ac:dyDescent="0.2">
      <c r="A121" s="19"/>
      <c r="B121" s="20"/>
      <c r="C121" s="21">
        <v>0</v>
      </c>
      <c r="D121" s="21">
        <v>0</v>
      </c>
      <c r="E121" s="22">
        <f t="shared" si="2"/>
        <v>15857</v>
      </c>
    </row>
    <row r="122" spans="1:5" x14ac:dyDescent="0.2">
      <c r="A122" s="19"/>
      <c r="B122" s="20"/>
      <c r="C122" s="21">
        <v>0</v>
      </c>
      <c r="D122" s="21">
        <v>0</v>
      </c>
      <c r="E122" s="22">
        <f t="shared" si="2"/>
        <v>15857</v>
      </c>
    </row>
    <row r="123" spans="1:5" x14ac:dyDescent="0.2">
      <c r="A123" s="19"/>
      <c r="B123" s="20"/>
      <c r="C123" s="21">
        <v>0</v>
      </c>
      <c r="D123" s="21">
        <v>0</v>
      </c>
      <c r="E123" s="22">
        <f t="shared" si="2"/>
        <v>15857</v>
      </c>
    </row>
    <row r="124" spans="1:5" x14ac:dyDescent="0.2">
      <c r="A124" s="19"/>
      <c r="B124" s="20"/>
      <c r="C124" s="21">
        <v>0</v>
      </c>
      <c r="D124" s="21">
        <v>0</v>
      </c>
      <c r="E124" s="22">
        <f t="shared" si="2"/>
        <v>15857</v>
      </c>
    </row>
    <row r="125" spans="1:5" x14ac:dyDescent="0.2">
      <c r="A125" s="19"/>
      <c r="B125" s="20"/>
      <c r="C125" s="21">
        <v>0</v>
      </c>
      <c r="D125" s="21">
        <v>0</v>
      </c>
      <c r="E125" s="22">
        <f t="shared" si="2"/>
        <v>15857</v>
      </c>
    </row>
    <row r="126" spans="1:5" x14ac:dyDescent="0.2">
      <c r="A126" s="19"/>
      <c r="B126" s="20"/>
      <c r="C126" s="21">
        <v>0</v>
      </c>
      <c r="D126" s="21">
        <v>0</v>
      </c>
      <c r="E126" s="22">
        <f t="shared" si="2"/>
        <v>15857</v>
      </c>
    </row>
    <row r="127" spans="1:5" x14ac:dyDescent="0.2">
      <c r="A127" s="19"/>
      <c r="B127" s="20"/>
      <c r="C127" s="21">
        <v>0</v>
      </c>
      <c r="D127" s="21">
        <v>0</v>
      </c>
      <c r="E127" s="22">
        <f t="shared" ref="E127:E140" si="3">SUM(E126+C127-D127)</f>
        <v>15857</v>
      </c>
    </row>
    <row r="128" spans="1:5" x14ac:dyDescent="0.2">
      <c r="A128" s="19"/>
      <c r="B128" s="20"/>
      <c r="C128" s="21">
        <v>0</v>
      </c>
      <c r="D128" s="21">
        <v>0</v>
      </c>
      <c r="E128" s="22">
        <f t="shared" si="3"/>
        <v>15857</v>
      </c>
    </row>
    <row r="129" spans="1:5" x14ac:dyDescent="0.2">
      <c r="A129" s="19"/>
      <c r="B129" s="20"/>
      <c r="C129" s="21">
        <v>0</v>
      </c>
      <c r="D129" s="21">
        <v>0</v>
      </c>
      <c r="E129" s="22">
        <f t="shared" si="3"/>
        <v>15857</v>
      </c>
    </row>
    <row r="130" spans="1:5" x14ac:dyDescent="0.2">
      <c r="A130" s="19"/>
      <c r="B130" s="20"/>
      <c r="C130" s="21">
        <v>0</v>
      </c>
      <c r="D130" s="21">
        <v>0</v>
      </c>
      <c r="E130" s="22">
        <f t="shared" si="3"/>
        <v>15857</v>
      </c>
    </row>
    <row r="131" spans="1:5" x14ac:dyDescent="0.2">
      <c r="A131" s="19"/>
      <c r="B131" s="20"/>
      <c r="C131" s="21">
        <v>0</v>
      </c>
      <c r="D131" s="21">
        <v>0</v>
      </c>
      <c r="E131" s="22">
        <f t="shared" si="3"/>
        <v>15857</v>
      </c>
    </row>
    <row r="132" spans="1:5" x14ac:dyDescent="0.2">
      <c r="A132" s="19"/>
      <c r="B132" s="20"/>
      <c r="C132" s="21">
        <v>0</v>
      </c>
      <c r="D132" s="21">
        <v>0</v>
      </c>
      <c r="E132" s="22">
        <f t="shared" si="3"/>
        <v>15857</v>
      </c>
    </row>
    <row r="133" spans="1:5" x14ac:dyDescent="0.2">
      <c r="A133" s="19"/>
      <c r="B133" s="20"/>
      <c r="C133" s="21">
        <v>0</v>
      </c>
      <c r="D133" s="21">
        <v>0</v>
      </c>
      <c r="E133" s="22">
        <f t="shared" si="3"/>
        <v>15857</v>
      </c>
    </row>
    <row r="134" spans="1:5" x14ac:dyDescent="0.2">
      <c r="A134" s="19"/>
      <c r="B134" s="20"/>
      <c r="C134" s="21">
        <v>0</v>
      </c>
      <c r="D134" s="21">
        <v>0</v>
      </c>
      <c r="E134" s="22">
        <f t="shared" si="3"/>
        <v>15857</v>
      </c>
    </row>
    <row r="135" spans="1:5" x14ac:dyDescent="0.2">
      <c r="A135" s="19"/>
      <c r="B135" s="20"/>
      <c r="C135" s="21">
        <v>0</v>
      </c>
      <c r="D135" s="21">
        <v>0</v>
      </c>
      <c r="E135" s="22">
        <f t="shared" si="3"/>
        <v>15857</v>
      </c>
    </row>
    <row r="136" spans="1:5" x14ac:dyDescent="0.2">
      <c r="A136" s="19"/>
      <c r="B136" s="20"/>
      <c r="C136" s="21">
        <v>0</v>
      </c>
      <c r="D136" s="21">
        <v>0</v>
      </c>
      <c r="E136" s="22">
        <f t="shared" si="3"/>
        <v>15857</v>
      </c>
    </row>
    <row r="137" spans="1:5" x14ac:dyDescent="0.2">
      <c r="A137" s="19"/>
      <c r="B137" s="20"/>
      <c r="C137" s="21">
        <v>0</v>
      </c>
      <c r="D137" s="21">
        <v>0</v>
      </c>
      <c r="E137" s="22">
        <f t="shared" si="3"/>
        <v>15857</v>
      </c>
    </row>
    <row r="138" spans="1:5" x14ac:dyDescent="0.2">
      <c r="A138" s="19"/>
      <c r="B138" s="20"/>
      <c r="C138" s="21">
        <v>0</v>
      </c>
      <c r="D138" s="21">
        <v>0</v>
      </c>
      <c r="E138" s="22">
        <f t="shared" si="3"/>
        <v>15857</v>
      </c>
    </row>
    <row r="139" spans="1:5" x14ac:dyDescent="0.2">
      <c r="A139" s="19"/>
      <c r="B139" s="20"/>
      <c r="C139" s="21">
        <v>0</v>
      </c>
      <c r="D139" s="21">
        <v>0</v>
      </c>
      <c r="E139" s="22">
        <f t="shared" si="3"/>
        <v>15857</v>
      </c>
    </row>
    <row r="140" spans="1:5" x14ac:dyDescent="0.2">
      <c r="A140" s="19"/>
      <c r="B140" s="20"/>
      <c r="C140" s="21">
        <v>0</v>
      </c>
      <c r="D140" s="21">
        <v>0</v>
      </c>
      <c r="E140" s="22">
        <f t="shared" si="3"/>
        <v>15857</v>
      </c>
    </row>
  </sheetData>
  <mergeCells count="1">
    <mergeCell ref="A1:E1"/>
  </mergeCell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7A15-EBA2-40AD-A6DB-600BD222F975}">
  <sheetPr>
    <pageSetUpPr fitToPage="1"/>
  </sheetPr>
  <dimension ref="A1:M140"/>
  <sheetViews>
    <sheetView zoomScaleNormal="100" workbookViewId="0">
      <pane ySplit="3" topLeftCell="A32" activePane="bottomLeft" state="frozen"/>
      <selection pane="bottomLeft" activeCell="C65" sqref="C65"/>
    </sheetView>
  </sheetViews>
  <sheetFormatPr baseColWidth="10" defaultColWidth="9.140625" defaultRowHeight="12.75" x14ac:dyDescent="0.2"/>
  <cols>
    <col min="1" max="1" width="10.42578125" bestFit="1" customWidth="1"/>
    <col min="2" max="2" width="44.28515625" customWidth="1"/>
    <col min="3" max="3" width="10.140625" bestFit="1" customWidth="1"/>
    <col min="4" max="4" width="9.140625" customWidth="1"/>
    <col min="5" max="5" width="10.42578125" bestFit="1" customWidth="1"/>
    <col min="7" max="7" width="11.140625" bestFit="1" customWidth="1"/>
    <col min="8" max="10" width="10.140625" bestFit="1" customWidth="1"/>
    <col min="11" max="11" width="10.85546875" bestFit="1" customWidth="1"/>
    <col min="12" max="13" width="11.140625" bestFit="1" customWidth="1"/>
  </cols>
  <sheetData>
    <row r="1" spans="1:13" ht="16.5" thickBot="1" x14ac:dyDescent="0.3">
      <c r="A1" s="48" t="s">
        <v>7</v>
      </c>
      <c r="B1" s="48"/>
      <c r="C1" s="48"/>
      <c r="D1" s="48"/>
      <c r="E1" s="48"/>
    </row>
    <row r="2" spans="1:13" ht="13.5" thickBot="1" x14ac:dyDescent="0.25">
      <c r="A2" s="4" t="s">
        <v>5</v>
      </c>
      <c r="B2" s="8"/>
      <c r="C2" s="5"/>
      <c r="D2" s="5"/>
      <c r="E2" s="23">
        <v>0.05</v>
      </c>
      <c r="G2" t="s">
        <v>8</v>
      </c>
      <c r="H2" s="24">
        <v>46334</v>
      </c>
      <c r="I2" s="24"/>
      <c r="J2" s="24"/>
      <c r="K2" s="24"/>
    </row>
    <row r="3" spans="1:13" ht="16.5" thickBot="1" x14ac:dyDescent="0.3">
      <c r="A3" s="29" t="s">
        <v>2</v>
      </c>
      <c r="B3" s="30" t="s">
        <v>3</v>
      </c>
      <c r="C3" s="31" t="s">
        <v>0</v>
      </c>
      <c r="D3" s="31" t="s">
        <v>1</v>
      </c>
      <c r="E3" s="32" t="s">
        <v>4</v>
      </c>
    </row>
    <row r="4" spans="1:13" x14ac:dyDescent="0.2">
      <c r="A4" s="33">
        <v>44324</v>
      </c>
      <c r="B4" s="34" t="s">
        <v>6</v>
      </c>
      <c r="C4" s="35">
        <v>12500</v>
      </c>
      <c r="D4" s="35">
        <v>0</v>
      </c>
      <c r="E4" s="36">
        <v>12500</v>
      </c>
    </row>
    <row r="5" spans="1:13" x14ac:dyDescent="0.2">
      <c r="A5" s="19">
        <v>44347</v>
      </c>
      <c r="B5" s="20" t="s">
        <v>9</v>
      </c>
      <c r="C5" s="21">
        <v>42</v>
      </c>
      <c r="D5" s="21">
        <v>0</v>
      </c>
      <c r="E5" s="22">
        <f t="shared" ref="E5:E68" si="0">SUM(E4+C5-D5)</f>
        <v>12542</v>
      </c>
      <c r="G5" s="1"/>
      <c r="H5" s="1"/>
      <c r="I5" s="1"/>
      <c r="J5" s="1"/>
      <c r="K5" s="1"/>
    </row>
    <row r="6" spans="1:13" x14ac:dyDescent="0.2">
      <c r="A6" s="19">
        <v>44377</v>
      </c>
      <c r="B6" s="20" t="s">
        <v>9</v>
      </c>
      <c r="C6" s="21">
        <v>42</v>
      </c>
      <c r="D6" s="21">
        <v>0</v>
      </c>
      <c r="E6" s="22">
        <f t="shared" si="0"/>
        <v>12584</v>
      </c>
      <c r="G6" s="6"/>
      <c r="H6" s="6"/>
      <c r="I6" s="6"/>
      <c r="J6" s="6"/>
      <c r="K6" s="6"/>
    </row>
    <row r="7" spans="1:13" x14ac:dyDescent="0.2">
      <c r="A7" s="19">
        <v>44408</v>
      </c>
      <c r="B7" s="20" t="s">
        <v>9</v>
      </c>
      <c r="C7" s="21">
        <v>42</v>
      </c>
      <c r="D7" s="21">
        <v>0</v>
      </c>
      <c r="E7" s="22">
        <f t="shared" si="0"/>
        <v>12626</v>
      </c>
      <c r="G7" s="1"/>
      <c r="H7" s="1"/>
      <c r="I7" s="1"/>
      <c r="J7" s="1"/>
      <c r="K7" s="1"/>
    </row>
    <row r="8" spans="1:13" x14ac:dyDescent="0.2">
      <c r="A8" s="19">
        <v>44439</v>
      </c>
      <c r="B8" s="20" t="s">
        <v>9</v>
      </c>
      <c r="C8" s="21">
        <v>42</v>
      </c>
      <c r="D8" s="21">
        <v>0</v>
      </c>
      <c r="E8" s="22">
        <f t="shared" si="0"/>
        <v>12668</v>
      </c>
      <c r="G8" s="1"/>
      <c r="H8" s="7"/>
      <c r="I8" s="7"/>
      <c r="J8" s="7"/>
      <c r="K8" s="7"/>
      <c r="L8" s="10"/>
    </row>
    <row r="9" spans="1:13" x14ac:dyDescent="0.2">
      <c r="A9" s="19">
        <v>44469</v>
      </c>
      <c r="B9" s="20" t="s">
        <v>9</v>
      </c>
      <c r="C9" s="21">
        <v>42</v>
      </c>
      <c r="D9" s="21">
        <v>0</v>
      </c>
      <c r="E9" s="22">
        <f t="shared" si="0"/>
        <v>12710</v>
      </c>
      <c r="G9" s="1"/>
    </row>
    <row r="10" spans="1:13" ht="13.5" thickBot="1" x14ac:dyDescent="0.25">
      <c r="A10" s="37">
        <v>44500</v>
      </c>
      <c r="B10" s="38" t="s">
        <v>9</v>
      </c>
      <c r="C10" s="39">
        <v>42</v>
      </c>
      <c r="D10" s="39">
        <v>0</v>
      </c>
      <c r="E10" s="40">
        <f t="shared" si="0"/>
        <v>12752</v>
      </c>
      <c r="G10" s="1"/>
      <c r="H10" s="1"/>
      <c r="I10" s="1"/>
      <c r="J10" s="1"/>
      <c r="K10" s="1"/>
      <c r="L10" s="1"/>
    </row>
    <row r="11" spans="1:13" x14ac:dyDescent="0.2">
      <c r="A11" s="33">
        <v>44530</v>
      </c>
      <c r="B11" s="45" t="s">
        <v>9</v>
      </c>
      <c r="C11" s="35">
        <v>53</v>
      </c>
      <c r="D11" s="35">
        <v>0</v>
      </c>
      <c r="E11" s="36">
        <f t="shared" si="0"/>
        <v>12805</v>
      </c>
      <c r="G11" s="6">
        <f>+E11*0.05</f>
        <v>640.25</v>
      </c>
      <c r="H11" s="6">
        <f>+G11/12</f>
        <v>53.354166666666664</v>
      </c>
      <c r="I11" s="6"/>
      <c r="J11" s="6"/>
      <c r="K11" s="6"/>
      <c r="L11" s="6"/>
    </row>
    <row r="12" spans="1:13" x14ac:dyDescent="0.2">
      <c r="A12" s="19">
        <v>44561</v>
      </c>
      <c r="B12" s="20" t="s">
        <v>9</v>
      </c>
      <c r="C12" s="21">
        <v>53</v>
      </c>
      <c r="D12" s="21">
        <v>0</v>
      </c>
      <c r="E12" s="22">
        <f t="shared" si="0"/>
        <v>12858</v>
      </c>
      <c r="G12" s="1"/>
      <c r="H12" s="1"/>
      <c r="I12" s="1"/>
      <c r="J12" s="1"/>
      <c r="K12" s="1"/>
      <c r="L12" s="1"/>
    </row>
    <row r="13" spans="1:13" x14ac:dyDescent="0.2">
      <c r="A13" s="19">
        <v>44592</v>
      </c>
      <c r="B13" s="20" t="s">
        <v>9</v>
      </c>
      <c r="C13" s="21">
        <v>53</v>
      </c>
      <c r="D13" s="21">
        <v>0</v>
      </c>
      <c r="E13" s="22">
        <f t="shared" si="0"/>
        <v>12911</v>
      </c>
      <c r="G13" s="11"/>
      <c r="H13" s="11"/>
      <c r="I13" s="11"/>
      <c r="J13" s="11"/>
      <c r="K13" s="11"/>
      <c r="L13" s="7"/>
      <c r="M13" s="10"/>
    </row>
    <row r="14" spans="1:13" x14ac:dyDescent="0.2">
      <c r="A14" s="19">
        <v>44620</v>
      </c>
      <c r="B14" s="20" t="s">
        <v>9</v>
      </c>
      <c r="C14" s="21">
        <v>53</v>
      </c>
      <c r="D14" s="21">
        <v>0</v>
      </c>
      <c r="E14" s="22">
        <f t="shared" si="0"/>
        <v>12964</v>
      </c>
    </row>
    <row r="15" spans="1:13" x14ac:dyDescent="0.2">
      <c r="A15" s="19">
        <v>44651</v>
      </c>
      <c r="B15" s="20" t="s">
        <v>9</v>
      </c>
      <c r="C15" s="21">
        <v>53</v>
      </c>
      <c r="D15" s="21">
        <v>0</v>
      </c>
      <c r="E15" s="22">
        <f t="shared" si="0"/>
        <v>13017</v>
      </c>
      <c r="H15" s="1"/>
      <c r="I15" s="1"/>
      <c r="J15" s="1"/>
      <c r="K15" s="1"/>
    </row>
    <row r="16" spans="1:13" x14ac:dyDescent="0.2">
      <c r="A16" s="19">
        <v>44681</v>
      </c>
      <c r="B16" s="20" t="s">
        <v>9</v>
      </c>
      <c r="C16" s="21">
        <v>53</v>
      </c>
      <c r="D16" s="21">
        <v>0</v>
      </c>
      <c r="E16" s="22">
        <f t="shared" si="0"/>
        <v>13070</v>
      </c>
      <c r="H16" s="6"/>
      <c r="I16" s="1"/>
      <c r="J16" s="6"/>
      <c r="K16" s="6"/>
    </row>
    <row r="17" spans="1:12" x14ac:dyDescent="0.2">
      <c r="A17" s="19">
        <v>44712</v>
      </c>
      <c r="B17" s="20" t="s">
        <v>9</v>
      </c>
      <c r="C17" s="21">
        <v>53</v>
      </c>
      <c r="D17" s="21">
        <v>0</v>
      </c>
      <c r="E17" s="22">
        <f t="shared" si="0"/>
        <v>13123</v>
      </c>
      <c r="H17" s="1"/>
      <c r="I17" s="1"/>
      <c r="J17" s="1"/>
      <c r="K17" s="1"/>
    </row>
    <row r="18" spans="1:12" x14ac:dyDescent="0.2">
      <c r="A18" s="19">
        <v>44742</v>
      </c>
      <c r="B18" s="20" t="s">
        <v>9</v>
      </c>
      <c r="C18" s="21">
        <v>53</v>
      </c>
      <c r="D18" s="21">
        <v>0</v>
      </c>
      <c r="E18" s="22">
        <f t="shared" si="0"/>
        <v>13176</v>
      </c>
      <c r="H18" s="11"/>
      <c r="I18" s="1"/>
      <c r="J18" s="11"/>
      <c r="K18" s="11"/>
      <c r="L18" s="12"/>
    </row>
    <row r="19" spans="1:12" x14ac:dyDescent="0.2">
      <c r="A19" s="19">
        <v>44773</v>
      </c>
      <c r="B19" s="20" t="s">
        <v>9</v>
      </c>
      <c r="C19" s="21">
        <v>53</v>
      </c>
      <c r="D19" s="21">
        <v>0</v>
      </c>
      <c r="E19" s="22">
        <f t="shared" si="0"/>
        <v>13229</v>
      </c>
      <c r="G19" s="1"/>
      <c r="H19" s="1"/>
      <c r="I19" s="1"/>
      <c r="J19" s="1"/>
      <c r="K19" s="1"/>
      <c r="L19" s="1"/>
    </row>
    <row r="20" spans="1:12" x14ac:dyDescent="0.2">
      <c r="A20" s="19">
        <v>44804</v>
      </c>
      <c r="B20" s="20" t="s">
        <v>9</v>
      </c>
      <c r="C20" s="21">
        <v>53</v>
      </c>
      <c r="D20" s="21">
        <v>0</v>
      </c>
      <c r="E20" s="22">
        <f t="shared" si="0"/>
        <v>13282</v>
      </c>
      <c r="G20" s="6"/>
      <c r="H20" s="6"/>
      <c r="I20" s="6"/>
      <c r="J20" s="6"/>
      <c r="K20" s="6"/>
      <c r="L20" s="6"/>
    </row>
    <row r="21" spans="1:12" x14ac:dyDescent="0.2">
      <c r="A21" s="19">
        <v>44834</v>
      </c>
      <c r="B21" s="20" t="s">
        <v>9</v>
      </c>
      <c r="C21" s="21">
        <v>53</v>
      </c>
      <c r="D21" s="21">
        <v>0</v>
      </c>
      <c r="E21" s="22">
        <f t="shared" si="0"/>
        <v>13335</v>
      </c>
      <c r="G21" s="1"/>
      <c r="H21" s="1"/>
      <c r="I21" s="1"/>
      <c r="J21" s="1"/>
      <c r="K21" s="1"/>
      <c r="L21" s="1"/>
    </row>
    <row r="22" spans="1:12" ht="13.5" thickBot="1" x14ac:dyDescent="0.25">
      <c r="A22" s="37">
        <v>44865</v>
      </c>
      <c r="B22" s="38" t="s">
        <v>9</v>
      </c>
      <c r="C22" s="39">
        <v>53</v>
      </c>
      <c r="D22" s="39">
        <v>0</v>
      </c>
      <c r="E22" s="40">
        <f t="shared" si="0"/>
        <v>13388</v>
      </c>
      <c r="G22" s="11"/>
      <c r="H22" s="11"/>
      <c r="I22" s="11"/>
      <c r="J22" s="11"/>
      <c r="K22" s="11"/>
      <c r="L22" s="11"/>
    </row>
    <row r="23" spans="1:12" x14ac:dyDescent="0.2">
      <c r="A23" s="33">
        <v>44895</v>
      </c>
      <c r="B23" s="45" t="s">
        <v>9</v>
      </c>
      <c r="C23" s="35">
        <v>56</v>
      </c>
      <c r="D23" s="35">
        <v>0</v>
      </c>
      <c r="E23" s="36">
        <f t="shared" si="0"/>
        <v>13444</v>
      </c>
      <c r="G23" s="11">
        <v>59</v>
      </c>
      <c r="H23" s="11"/>
      <c r="I23" s="11"/>
      <c r="J23" s="11"/>
      <c r="K23" s="12"/>
    </row>
    <row r="24" spans="1:12" x14ac:dyDescent="0.2">
      <c r="A24" s="19">
        <v>44926</v>
      </c>
      <c r="B24" s="20" t="s">
        <v>9</v>
      </c>
      <c r="C24" s="21">
        <v>56</v>
      </c>
      <c r="D24" s="21">
        <v>0</v>
      </c>
      <c r="E24" s="22">
        <f t="shared" si="0"/>
        <v>13500</v>
      </c>
      <c r="G24" s="1">
        <v>60</v>
      </c>
      <c r="H24" s="1"/>
      <c r="I24" s="1"/>
      <c r="J24" s="1"/>
      <c r="K24" s="1"/>
    </row>
    <row r="25" spans="1:12" x14ac:dyDescent="0.2">
      <c r="A25" s="19">
        <v>44957</v>
      </c>
      <c r="B25" s="20" t="s">
        <v>9</v>
      </c>
      <c r="C25" s="21">
        <v>56</v>
      </c>
      <c r="D25" s="21">
        <v>0</v>
      </c>
      <c r="E25" s="22">
        <f t="shared" si="0"/>
        <v>13556</v>
      </c>
      <c r="G25" s="1">
        <v>60</v>
      </c>
      <c r="H25" s="1"/>
      <c r="I25" s="6"/>
      <c r="J25" s="6"/>
      <c r="K25" s="6"/>
    </row>
    <row r="26" spans="1:12" x14ac:dyDescent="0.2">
      <c r="A26" s="19">
        <v>44985</v>
      </c>
      <c r="B26" s="20" t="s">
        <v>9</v>
      </c>
      <c r="C26" s="21">
        <v>56</v>
      </c>
      <c r="D26" s="21">
        <v>0</v>
      </c>
      <c r="E26" s="22">
        <f t="shared" si="0"/>
        <v>13612</v>
      </c>
      <c r="G26" s="6">
        <v>61</v>
      </c>
      <c r="H26" s="6"/>
      <c r="I26" s="1"/>
      <c r="J26" s="1"/>
      <c r="K26" s="1"/>
    </row>
    <row r="27" spans="1:12" x14ac:dyDescent="0.2">
      <c r="A27" s="19">
        <v>45016</v>
      </c>
      <c r="B27" s="20" t="s">
        <v>9</v>
      </c>
      <c r="C27" s="21">
        <v>56</v>
      </c>
      <c r="D27" s="21">
        <v>0</v>
      </c>
      <c r="E27" s="22">
        <f t="shared" si="0"/>
        <v>13668</v>
      </c>
      <c r="G27" s="1">
        <f>SUM(G23:G26)</f>
        <v>240</v>
      </c>
      <c r="H27" s="1"/>
      <c r="I27" s="1"/>
      <c r="J27" s="1"/>
      <c r="K27" s="11"/>
    </row>
    <row r="28" spans="1:12" x14ac:dyDescent="0.2">
      <c r="A28" s="19">
        <v>45046</v>
      </c>
      <c r="B28" s="20" t="s">
        <v>9</v>
      </c>
      <c r="C28" s="21">
        <v>56</v>
      </c>
      <c r="D28" s="21">
        <v>0</v>
      </c>
      <c r="E28" s="22">
        <f t="shared" si="0"/>
        <v>13724</v>
      </c>
      <c r="G28" s="6"/>
      <c r="H28" s="6"/>
      <c r="I28" s="6"/>
      <c r="J28" s="6"/>
    </row>
    <row r="29" spans="1:12" x14ac:dyDescent="0.2">
      <c r="A29" s="19">
        <v>45077</v>
      </c>
      <c r="B29" s="20" t="s">
        <v>9</v>
      </c>
      <c r="C29" s="21">
        <v>56</v>
      </c>
      <c r="D29" s="21">
        <v>0</v>
      </c>
      <c r="E29" s="22">
        <f t="shared" si="0"/>
        <v>13780</v>
      </c>
      <c r="G29" s="1"/>
      <c r="H29" s="1"/>
      <c r="I29" s="1"/>
      <c r="J29" s="1"/>
    </row>
    <row r="30" spans="1:12" x14ac:dyDescent="0.2">
      <c r="A30" s="19">
        <v>45107</v>
      </c>
      <c r="B30" s="20" t="s">
        <v>9</v>
      </c>
      <c r="C30" s="21">
        <v>56</v>
      </c>
      <c r="D30" s="21">
        <v>0</v>
      </c>
      <c r="E30" s="22">
        <f t="shared" si="0"/>
        <v>13836</v>
      </c>
      <c r="G30" s="11"/>
      <c r="H30" s="11"/>
      <c r="I30" s="11"/>
      <c r="J30" s="11"/>
      <c r="K30" s="12"/>
    </row>
    <row r="31" spans="1:12" x14ac:dyDescent="0.2">
      <c r="A31" s="19">
        <v>45138</v>
      </c>
      <c r="B31" s="20" t="s">
        <v>9</v>
      </c>
      <c r="C31" s="21">
        <v>56</v>
      </c>
      <c r="D31" s="21">
        <v>0</v>
      </c>
      <c r="E31" s="22">
        <f t="shared" si="0"/>
        <v>13892</v>
      </c>
    </row>
    <row r="32" spans="1:12" x14ac:dyDescent="0.2">
      <c r="A32" s="46">
        <v>45169</v>
      </c>
      <c r="B32" s="20" t="s">
        <v>9</v>
      </c>
      <c r="C32" s="21">
        <v>56</v>
      </c>
      <c r="D32" s="21">
        <v>0</v>
      </c>
      <c r="E32" s="22">
        <f t="shared" si="0"/>
        <v>13948</v>
      </c>
      <c r="G32" s="1"/>
      <c r="H32" s="1"/>
    </row>
    <row r="33" spans="1:9" x14ac:dyDescent="0.2">
      <c r="A33" s="19">
        <v>45199</v>
      </c>
      <c r="B33" s="20" t="s">
        <v>9</v>
      </c>
      <c r="C33" s="21">
        <v>56</v>
      </c>
      <c r="D33" s="21">
        <v>0</v>
      </c>
      <c r="E33" s="22">
        <f t="shared" si="0"/>
        <v>14004</v>
      </c>
      <c r="G33" s="6"/>
      <c r="H33" s="13"/>
    </row>
    <row r="34" spans="1:9" ht="13.5" thickBot="1" x14ac:dyDescent="0.25">
      <c r="A34" s="37">
        <v>45230</v>
      </c>
      <c r="B34" s="38" t="s">
        <v>9</v>
      </c>
      <c r="C34" s="39">
        <v>56</v>
      </c>
      <c r="D34" s="39">
        <v>0</v>
      </c>
      <c r="E34" s="40">
        <f t="shared" si="0"/>
        <v>14060</v>
      </c>
      <c r="G34" s="1"/>
      <c r="H34" s="13"/>
    </row>
    <row r="35" spans="1:9" x14ac:dyDescent="0.2">
      <c r="A35" s="33">
        <v>45260</v>
      </c>
      <c r="B35" s="45" t="s">
        <v>9</v>
      </c>
      <c r="C35" s="35">
        <v>58</v>
      </c>
      <c r="D35" s="35">
        <v>0</v>
      </c>
      <c r="E35" s="36">
        <f t="shared" si="0"/>
        <v>14118</v>
      </c>
      <c r="G35" s="1"/>
      <c r="H35" s="1"/>
      <c r="I35" s="12"/>
    </row>
    <row r="36" spans="1:9" x14ac:dyDescent="0.2">
      <c r="A36" s="19">
        <v>45291</v>
      </c>
      <c r="B36" s="20" t="s">
        <v>9</v>
      </c>
      <c r="C36" s="21">
        <v>58</v>
      </c>
      <c r="D36" s="21">
        <v>0</v>
      </c>
      <c r="E36" s="22">
        <f t="shared" si="0"/>
        <v>14176</v>
      </c>
      <c r="G36" s="6"/>
      <c r="H36" s="6"/>
    </row>
    <row r="37" spans="1:9" x14ac:dyDescent="0.2">
      <c r="A37" s="19">
        <v>45322</v>
      </c>
      <c r="B37" s="20" t="s">
        <v>9</v>
      </c>
      <c r="C37" s="21">
        <v>58</v>
      </c>
      <c r="D37" s="21">
        <v>0</v>
      </c>
      <c r="E37" s="22">
        <f t="shared" si="0"/>
        <v>14234</v>
      </c>
      <c r="G37" s="1"/>
      <c r="H37" s="1"/>
    </row>
    <row r="38" spans="1:9" x14ac:dyDescent="0.2">
      <c r="A38" s="19">
        <v>45351</v>
      </c>
      <c r="B38" s="20" t="s">
        <v>9</v>
      </c>
      <c r="C38" s="21">
        <v>58</v>
      </c>
      <c r="D38" s="21">
        <v>0</v>
      </c>
      <c r="E38" s="22">
        <f t="shared" si="0"/>
        <v>14292</v>
      </c>
      <c r="G38" s="6"/>
      <c r="H38" s="6"/>
      <c r="I38" s="12"/>
    </row>
    <row r="39" spans="1:9" x14ac:dyDescent="0.2">
      <c r="A39" s="19">
        <v>45382</v>
      </c>
      <c r="B39" s="20" t="s">
        <v>9</v>
      </c>
      <c r="C39" s="21">
        <v>58</v>
      </c>
      <c r="D39" s="21">
        <v>0</v>
      </c>
      <c r="E39" s="22">
        <f t="shared" si="0"/>
        <v>14350</v>
      </c>
      <c r="G39" s="1"/>
      <c r="H39" s="1"/>
    </row>
    <row r="40" spans="1:9" x14ac:dyDescent="0.2">
      <c r="A40" s="19">
        <v>45412</v>
      </c>
      <c r="B40" s="20" t="s">
        <v>9</v>
      </c>
      <c r="C40" s="21">
        <v>58</v>
      </c>
      <c r="D40" s="21">
        <v>0</v>
      </c>
      <c r="E40" s="22">
        <f t="shared" si="0"/>
        <v>14408</v>
      </c>
      <c r="G40" s="6"/>
      <c r="H40" s="11"/>
      <c r="I40" s="12"/>
    </row>
    <row r="41" spans="1:9" x14ac:dyDescent="0.2">
      <c r="A41" s="19">
        <v>45443</v>
      </c>
      <c r="B41" s="20" t="s">
        <v>9</v>
      </c>
      <c r="C41" s="21">
        <v>58</v>
      </c>
      <c r="D41" s="21">
        <v>0</v>
      </c>
      <c r="E41" s="22">
        <f t="shared" si="0"/>
        <v>14466</v>
      </c>
      <c r="G41" s="1"/>
    </row>
    <row r="42" spans="1:9" x14ac:dyDescent="0.2">
      <c r="A42" s="19">
        <v>45473</v>
      </c>
      <c r="B42" s="20" t="s">
        <v>9</v>
      </c>
      <c r="C42" s="21">
        <v>58</v>
      </c>
      <c r="D42" s="21">
        <v>0</v>
      </c>
      <c r="E42" s="22">
        <f t="shared" si="0"/>
        <v>14524</v>
      </c>
      <c r="G42" s="11"/>
    </row>
    <row r="43" spans="1:9" x14ac:dyDescent="0.2">
      <c r="A43" s="19">
        <v>45504</v>
      </c>
      <c r="B43" s="20" t="s">
        <v>9</v>
      </c>
      <c r="C43" s="21">
        <v>58</v>
      </c>
      <c r="D43" s="21">
        <v>0</v>
      </c>
      <c r="E43" s="22">
        <f t="shared" si="0"/>
        <v>14582</v>
      </c>
    </row>
    <row r="44" spans="1:9" x14ac:dyDescent="0.2">
      <c r="A44" s="19">
        <v>45534</v>
      </c>
      <c r="B44" s="20" t="s">
        <v>9</v>
      </c>
      <c r="C44" s="21">
        <v>58</v>
      </c>
      <c r="D44" s="21">
        <v>0</v>
      </c>
      <c r="E44" s="22">
        <f t="shared" si="0"/>
        <v>14640</v>
      </c>
    </row>
    <row r="45" spans="1:9" x14ac:dyDescent="0.2">
      <c r="A45" s="19">
        <v>45565</v>
      </c>
      <c r="B45" s="20" t="s">
        <v>9</v>
      </c>
      <c r="C45" s="21">
        <v>58</v>
      </c>
      <c r="D45" s="21">
        <v>0</v>
      </c>
      <c r="E45" s="22">
        <f t="shared" si="0"/>
        <v>14698</v>
      </c>
    </row>
    <row r="46" spans="1:9" ht="13.5" thickBot="1" x14ac:dyDescent="0.25">
      <c r="A46" s="37">
        <v>45596</v>
      </c>
      <c r="B46" s="38" t="s">
        <v>9</v>
      </c>
      <c r="C46" s="39">
        <v>58</v>
      </c>
      <c r="D46" s="39">
        <v>0</v>
      </c>
      <c r="E46" s="40">
        <f t="shared" si="0"/>
        <v>14756</v>
      </c>
    </row>
    <row r="47" spans="1:9" x14ac:dyDescent="0.2">
      <c r="A47" s="47">
        <v>45626</v>
      </c>
      <c r="B47" s="45" t="s">
        <v>9</v>
      </c>
      <c r="C47" s="35">
        <v>67</v>
      </c>
      <c r="D47" s="35">
        <v>0</v>
      </c>
      <c r="E47" s="36">
        <f t="shared" si="0"/>
        <v>14823</v>
      </c>
    </row>
    <row r="48" spans="1:9" x14ac:dyDescent="0.2">
      <c r="A48" s="19">
        <v>45656</v>
      </c>
      <c r="B48" s="20" t="s">
        <v>9</v>
      </c>
      <c r="C48" s="21">
        <v>61</v>
      </c>
      <c r="D48" s="21">
        <v>0</v>
      </c>
      <c r="E48" s="22">
        <f t="shared" si="0"/>
        <v>14884</v>
      </c>
    </row>
    <row r="49" spans="1:8" x14ac:dyDescent="0.2">
      <c r="A49" s="19">
        <v>45688</v>
      </c>
      <c r="B49" s="20" t="s">
        <v>9</v>
      </c>
      <c r="C49" s="21">
        <v>61</v>
      </c>
      <c r="D49" s="21">
        <v>0</v>
      </c>
      <c r="E49" s="22">
        <f t="shared" si="0"/>
        <v>14945</v>
      </c>
    </row>
    <row r="50" spans="1:8" x14ac:dyDescent="0.2">
      <c r="A50" s="19">
        <v>45716</v>
      </c>
      <c r="B50" s="20" t="s">
        <v>9</v>
      </c>
      <c r="C50" s="21">
        <v>61</v>
      </c>
      <c r="D50" s="21">
        <v>0</v>
      </c>
      <c r="E50" s="22">
        <f t="shared" si="0"/>
        <v>15006</v>
      </c>
    </row>
    <row r="51" spans="1:8" x14ac:dyDescent="0.2">
      <c r="A51" s="19">
        <v>45747</v>
      </c>
      <c r="B51" s="20" t="s">
        <v>9</v>
      </c>
      <c r="C51" s="21">
        <v>61</v>
      </c>
      <c r="D51" s="21">
        <v>0</v>
      </c>
      <c r="E51" s="22">
        <f t="shared" si="0"/>
        <v>15067</v>
      </c>
    </row>
    <row r="52" spans="1:8" x14ac:dyDescent="0.2">
      <c r="A52" s="19">
        <v>45777</v>
      </c>
      <c r="B52" s="20" t="s">
        <v>9</v>
      </c>
      <c r="C52" s="21">
        <v>61</v>
      </c>
      <c r="D52" s="21">
        <v>0</v>
      </c>
      <c r="E52" s="22">
        <f t="shared" si="0"/>
        <v>15128</v>
      </c>
      <c r="G52" s="1"/>
      <c r="H52" s="1"/>
    </row>
    <row r="53" spans="1:8" x14ac:dyDescent="0.2">
      <c r="A53" s="19">
        <v>45807</v>
      </c>
      <c r="B53" s="20" t="s">
        <v>9</v>
      </c>
      <c r="C53" s="21">
        <v>61</v>
      </c>
      <c r="D53" s="21">
        <v>0</v>
      </c>
      <c r="E53" s="22">
        <f t="shared" si="0"/>
        <v>15189</v>
      </c>
    </row>
    <row r="54" spans="1:8" x14ac:dyDescent="0.2">
      <c r="A54" s="19">
        <v>45838</v>
      </c>
      <c r="B54" s="20" t="s">
        <v>9</v>
      </c>
      <c r="C54" s="21">
        <v>61</v>
      </c>
      <c r="D54" s="21">
        <v>0</v>
      </c>
      <c r="E54" s="22">
        <f t="shared" si="0"/>
        <v>15250</v>
      </c>
    </row>
    <row r="55" spans="1:8" x14ac:dyDescent="0.2">
      <c r="A55" s="19">
        <v>45869</v>
      </c>
      <c r="B55" s="20" t="s">
        <v>9</v>
      </c>
      <c r="C55" s="21">
        <v>61</v>
      </c>
      <c r="D55" s="21">
        <v>0</v>
      </c>
      <c r="E55" s="22">
        <f t="shared" si="0"/>
        <v>15311</v>
      </c>
    </row>
    <row r="56" spans="1:8" x14ac:dyDescent="0.2">
      <c r="A56" s="19">
        <v>45900</v>
      </c>
      <c r="B56" s="20" t="s">
        <v>9</v>
      </c>
      <c r="C56" s="21">
        <v>61</v>
      </c>
      <c r="D56" s="21">
        <v>0</v>
      </c>
      <c r="E56" s="22">
        <f t="shared" si="0"/>
        <v>15372</v>
      </c>
    </row>
    <row r="57" spans="1:8" x14ac:dyDescent="0.2">
      <c r="A57" s="19">
        <v>45930</v>
      </c>
      <c r="B57" s="20" t="s">
        <v>9</v>
      </c>
      <c r="C57" s="21">
        <v>61</v>
      </c>
      <c r="D57" s="21">
        <v>0</v>
      </c>
      <c r="E57" s="22">
        <f t="shared" si="0"/>
        <v>15433</v>
      </c>
    </row>
    <row r="58" spans="1:8" ht="13.5" thickBot="1" x14ac:dyDescent="0.25">
      <c r="A58" s="37">
        <v>45961</v>
      </c>
      <c r="B58" s="38" t="s">
        <v>9</v>
      </c>
      <c r="C58" s="39">
        <v>61</v>
      </c>
      <c r="D58" s="39">
        <v>0</v>
      </c>
      <c r="E58" s="40">
        <f t="shared" si="0"/>
        <v>15494</v>
      </c>
      <c r="G58">
        <f>+E58*E2</f>
        <v>774.7</v>
      </c>
    </row>
    <row r="59" spans="1:8" x14ac:dyDescent="0.2">
      <c r="A59" s="19">
        <v>45991</v>
      </c>
      <c r="B59" s="20" t="s">
        <v>9</v>
      </c>
      <c r="C59" s="21">
        <v>70</v>
      </c>
      <c r="D59" s="21">
        <v>0</v>
      </c>
      <c r="E59" s="22">
        <f t="shared" si="0"/>
        <v>15564</v>
      </c>
      <c r="F59" s="13">
        <v>70</v>
      </c>
      <c r="G59">
        <f>+G58/12</f>
        <v>64.558333333333337</v>
      </c>
    </row>
    <row r="60" spans="1:8" x14ac:dyDescent="0.2">
      <c r="A60" s="19">
        <v>46022</v>
      </c>
      <c r="B60" s="20" t="s">
        <v>9</v>
      </c>
      <c r="C60" s="21">
        <v>64</v>
      </c>
      <c r="D60" s="21">
        <v>0</v>
      </c>
      <c r="E60" s="22">
        <f t="shared" si="0"/>
        <v>15628</v>
      </c>
      <c r="F60">
        <v>64</v>
      </c>
    </row>
    <row r="61" spans="1:8" x14ac:dyDescent="0.2">
      <c r="A61" s="19">
        <v>46053</v>
      </c>
      <c r="B61" s="20" t="s">
        <v>9</v>
      </c>
      <c r="C61" s="21">
        <v>64</v>
      </c>
      <c r="D61" s="21">
        <v>0</v>
      </c>
      <c r="E61" s="22">
        <f t="shared" si="0"/>
        <v>15692</v>
      </c>
      <c r="F61">
        <v>64</v>
      </c>
    </row>
    <row r="62" spans="1:8" x14ac:dyDescent="0.2">
      <c r="A62" s="19">
        <v>46081</v>
      </c>
      <c r="B62" s="20" t="s">
        <v>9</v>
      </c>
      <c r="C62" s="21">
        <v>64</v>
      </c>
      <c r="D62" s="21">
        <v>0</v>
      </c>
      <c r="E62" s="22">
        <f t="shared" si="0"/>
        <v>15756</v>
      </c>
      <c r="F62">
        <v>64</v>
      </c>
    </row>
    <row r="63" spans="1:8" x14ac:dyDescent="0.2">
      <c r="A63" s="19">
        <v>46112</v>
      </c>
      <c r="B63" s="20" t="s">
        <v>9</v>
      </c>
      <c r="C63" s="21">
        <v>64</v>
      </c>
      <c r="D63" s="21">
        <v>0</v>
      </c>
      <c r="E63" s="22">
        <f t="shared" si="0"/>
        <v>15820</v>
      </c>
      <c r="F63">
        <v>64</v>
      </c>
    </row>
    <row r="64" spans="1:8" x14ac:dyDescent="0.2">
      <c r="A64" s="19">
        <v>46142</v>
      </c>
      <c r="B64" s="20" t="s">
        <v>9</v>
      </c>
      <c r="C64" s="21">
        <v>64</v>
      </c>
      <c r="D64" s="21">
        <v>0</v>
      </c>
      <c r="E64" s="22">
        <f t="shared" si="0"/>
        <v>15884</v>
      </c>
      <c r="F64">
        <v>64</v>
      </c>
    </row>
    <row r="65" spans="1:6" x14ac:dyDescent="0.2">
      <c r="A65" s="19"/>
      <c r="B65" s="20"/>
      <c r="C65" s="21">
        <v>0</v>
      </c>
      <c r="D65" s="21">
        <v>0</v>
      </c>
      <c r="E65" s="22">
        <f t="shared" si="0"/>
        <v>15884</v>
      </c>
      <c r="F65">
        <v>64</v>
      </c>
    </row>
    <row r="66" spans="1:6" x14ac:dyDescent="0.2">
      <c r="A66" s="19"/>
      <c r="B66" s="20"/>
      <c r="C66" s="21">
        <v>0</v>
      </c>
      <c r="D66" s="21">
        <v>0</v>
      </c>
      <c r="E66" s="22">
        <f t="shared" si="0"/>
        <v>15884</v>
      </c>
      <c r="F66">
        <v>64</v>
      </c>
    </row>
    <row r="67" spans="1:6" x14ac:dyDescent="0.2">
      <c r="A67" s="19"/>
      <c r="B67" s="20"/>
      <c r="C67" s="21">
        <v>0</v>
      </c>
      <c r="D67" s="21">
        <v>0</v>
      </c>
      <c r="E67" s="22">
        <f t="shared" si="0"/>
        <v>15884</v>
      </c>
      <c r="F67">
        <v>64</v>
      </c>
    </row>
    <row r="68" spans="1:6" x14ac:dyDescent="0.2">
      <c r="A68" s="19"/>
      <c r="B68" s="20"/>
      <c r="C68" s="21">
        <v>0</v>
      </c>
      <c r="D68" s="21">
        <v>0</v>
      </c>
      <c r="E68" s="22">
        <f t="shared" si="0"/>
        <v>15884</v>
      </c>
      <c r="F68">
        <v>64</v>
      </c>
    </row>
    <row r="69" spans="1:6" x14ac:dyDescent="0.2">
      <c r="A69" s="19"/>
      <c r="B69" s="20"/>
      <c r="C69" s="21">
        <v>0</v>
      </c>
      <c r="D69" s="21">
        <v>0</v>
      </c>
      <c r="E69" s="22">
        <f t="shared" ref="E69:E132" si="1">SUM(E68+C69-D69)</f>
        <v>15884</v>
      </c>
      <c r="F69">
        <v>64</v>
      </c>
    </row>
    <row r="70" spans="1:6" x14ac:dyDescent="0.2">
      <c r="A70" s="19"/>
      <c r="B70" s="20"/>
      <c r="C70" s="21">
        <v>0</v>
      </c>
      <c r="D70" s="21">
        <v>0</v>
      </c>
      <c r="E70" s="22">
        <f t="shared" si="1"/>
        <v>15884</v>
      </c>
      <c r="F70">
        <v>64</v>
      </c>
    </row>
    <row r="71" spans="1:6" x14ac:dyDescent="0.2">
      <c r="A71" s="19"/>
      <c r="B71" s="20"/>
      <c r="C71" s="21">
        <v>0</v>
      </c>
      <c r="D71" s="21">
        <v>0</v>
      </c>
      <c r="E71" s="22">
        <f t="shared" si="1"/>
        <v>15884</v>
      </c>
      <c r="F71">
        <v>64</v>
      </c>
    </row>
    <row r="72" spans="1:6" x14ac:dyDescent="0.2">
      <c r="A72" s="19"/>
      <c r="B72" s="20"/>
      <c r="C72" s="21">
        <v>0</v>
      </c>
      <c r="D72" s="21">
        <v>0</v>
      </c>
      <c r="E72" s="22">
        <f t="shared" si="1"/>
        <v>15884</v>
      </c>
    </row>
    <row r="73" spans="1:6" x14ac:dyDescent="0.2">
      <c r="A73" s="19"/>
      <c r="B73" s="20"/>
      <c r="C73" s="21">
        <v>0</v>
      </c>
      <c r="D73" s="21">
        <v>0</v>
      </c>
      <c r="E73" s="22">
        <f t="shared" si="1"/>
        <v>15884</v>
      </c>
    </row>
    <row r="74" spans="1:6" x14ac:dyDescent="0.2">
      <c r="A74" s="19"/>
      <c r="B74" s="20"/>
      <c r="C74" s="21">
        <v>0</v>
      </c>
      <c r="D74" s="21">
        <v>0</v>
      </c>
      <c r="E74" s="22">
        <f t="shared" si="1"/>
        <v>15884</v>
      </c>
    </row>
    <row r="75" spans="1:6" x14ac:dyDescent="0.2">
      <c r="A75" s="19"/>
      <c r="B75" s="20"/>
      <c r="C75" s="21">
        <v>0</v>
      </c>
      <c r="D75" s="21">
        <v>0</v>
      </c>
      <c r="E75" s="22">
        <f t="shared" si="1"/>
        <v>15884</v>
      </c>
    </row>
    <row r="76" spans="1:6" x14ac:dyDescent="0.2">
      <c r="A76" s="19"/>
      <c r="B76" s="20"/>
      <c r="C76" s="21">
        <v>0</v>
      </c>
      <c r="D76" s="21">
        <v>0</v>
      </c>
      <c r="E76" s="22">
        <f t="shared" si="1"/>
        <v>15884</v>
      </c>
    </row>
    <row r="77" spans="1:6" x14ac:dyDescent="0.2">
      <c r="A77" s="19"/>
      <c r="B77" s="20"/>
      <c r="C77" s="21">
        <v>0</v>
      </c>
      <c r="D77" s="21">
        <v>0</v>
      </c>
      <c r="E77" s="22">
        <f t="shared" si="1"/>
        <v>15884</v>
      </c>
    </row>
    <row r="78" spans="1:6" x14ac:dyDescent="0.2">
      <c r="A78" s="19"/>
      <c r="B78" s="20"/>
      <c r="C78" s="21">
        <v>0</v>
      </c>
      <c r="D78" s="21">
        <v>0</v>
      </c>
      <c r="E78" s="22">
        <f t="shared" si="1"/>
        <v>15884</v>
      </c>
    </row>
    <row r="79" spans="1:6" x14ac:dyDescent="0.2">
      <c r="A79" s="19"/>
      <c r="B79" s="20"/>
      <c r="C79" s="21">
        <v>0</v>
      </c>
      <c r="D79" s="21">
        <v>0</v>
      </c>
      <c r="E79" s="22">
        <f t="shared" si="1"/>
        <v>15884</v>
      </c>
    </row>
    <row r="80" spans="1:6" x14ac:dyDescent="0.2">
      <c r="A80" s="19"/>
      <c r="B80" s="20"/>
      <c r="C80" s="21">
        <v>0</v>
      </c>
      <c r="D80" s="21">
        <v>0</v>
      </c>
      <c r="E80" s="22">
        <f t="shared" si="1"/>
        <v>15884</v>
      </c>
    </row>
    <row r="81" spans="1:5" x14ac:dyDescent="0.2">
      <c r="A81" s="19"/>
      <c r="B81" s="20"/>
      <c r="C81" s="21">
        <v>0</v>
      </c>
      <c r="D81" s="21">
        <v>0</v>
      </c>
      <c r="E81" s="22">
        <f t="shared" si="1"/>
        <v>15884</v>
      </c>
    </row>
    <row r="82" spans="1:5" x14ac:dyDescent="0.2">
      <c r="A82" s="19"/>
      <c r="B82" s="20"/>
      <c r="C82" s="21">
        <v>0</v>
      </c>
      <c r="D82" s="21">
        <v>0</v>
      </c>
      <c r="E82" s="22">
        <f t="shared" si="1"/>
        <v>15884</v>
      </c>
    </row>
    <row r="83" spans="1:5" x14ac:dyDescent="0.2">
      <c r="A83" s="19"/>
      <c r="B83" s="20"/>
      <c r="C83" s="21">
        <v>0</v>
      </c>
      <c r="D83" s="21">
        <v>0</v>
      </c>
      <c r="E83" s="22">
        <f t="shared" si="1"/>
        <v>15884</v>
      </c>
    </row>
    <row r="84" spans="1:5" x14ac:dyDescent="0.2">
      <c r="A84" s="19"/>
      <c r="B84" s="20"/>
      <c r="C84" s="21">
        <v>0</v>
      </c>
      <c r="D84" s="21">
        <v>0</v>
      </c>
      <c r="E84" s="22">
        <f t="shared" si="1"/>
        <v>15884</v>
      </c>
    </row>
    <row r="85" spans="1:5" x14ac:dyDescent="0.2">
      <c r="A85" s="19"/>
      <c r="B85" s="20"/>
      <c r="C85" s="21">
        <v>0</v>
      </c>
      <c r="D85" s="21">
        <v>0</v>
      </c>
      <c r="E85" s="22">
        <f t="shared" si="1"/>
        <v>15884</v>
      </c>
    </row>
    <row r="86" spans="1:5" x14ac:dyDescent="0.2">
      <c r="A86" s="19"/>
      <c r="B86" s="20"/>
      <c r="C86" s="21">
        <v>0</v>
      </c>
      <c r="D86" s="21">
        <v>0</v>
      </c>
      <c r="E86" s="22">
        <f t="shared" si="1"/>
        <v>15884</v>
      </c>
    </row>
    <row r="87" spans="1:5" x14ac:dyDescent="0.2">
      <c r="A87" s="19"/>
      <c r="B87" s="20"/>
      <c r="C87" s="21">
        <v>0</v>
      </c>
      <c r="D87" s="21">
        <v>0</v>
      </c>
      <c r="E87" s="22">
        <f t="shared" si="1"/>
        <v>15884</v>
      </c>
    </row>
    <row r="88" spans="1:5" x14ac:dyDescent="0.2">
      <c r="A88" s="19"/>
      <c r="B88" s="20"/>
      <c r="C88" s="21">
        <v>0</v>
      </c>
      <c r="D88" s="21">
        <v>0</v>
      </c>
      <c r="E88" s="22">
        <f t="shared" si="1"/>
        <v>15884</v>
      </c>
    </row>
    <row r="89" spans="1:5" x14ac:dyDescent="0.2">
      <c r="A89" s="19"/>
      <c r="B89" s="20"/>
      <c r="C89" s="21">
        <v>0</v>
      </c>
      <c r="D89" s="21">
        <v>0</v>
      </c>
      <c r="E89" s="22">
        <f t="shared" si="1"/>
        <v>15884</v>
      </c>
    </row>
    <row r="90" spans="1:5" x14ac:dyDescent="0.2">
      <c r="A90" s="19"/>
      <c r="B90" s="20"/>
      <c r="C90" s="21">
        <v>0</v>
      </c>
      <c r="D90" s="21">
        <v>0</v>
      </c>
      <c r="E90" s="22">
        <f t="shared" si="1"/>
        <v>15884</v>
      </c>
    </row>
    <row r="91" spans="1:5" x14ac:dyDescent="0.2">
      <c r="A91" s="19"/>
      <c r="B91" s="20"/>
      <c r="C91" s="21">
        <v>0</v>
      </c>
      <c r="D91" s="21">
        <v>0</v>
      </c>
      <c r="E91" s="22">
        <f t="shared" si="1"/>
        <v>15884</v>
      </c>
    </row>
    <row r="92" spans="1:5" x14ac:dyDescent="0.2">
      <c r="A92" s="19"/>
      <c r="B92" s="20"/>
      <c r="C92" s="21">
        <v>0</v>
      </c>
      <c r="D92" s="21">
        <v>0</v>
      </c>
      <c r="E92" s="22">
        <f t="shared" si="1"/>
        <v>15884</v>
      </c>
    </row>
    <row r="93" spans="1:5" x14ac:dyDescent="0.2">
      <c r="A93" s="19"/>
      <c r="B93" s="20"/>
      <c r="C93" s="21">
        <v>0</v>
      </c>
      <c r="D93" s="21">
        <v>0</v>
      </c>
      <c r="E93" s="22">
        <f t="shared" si="1"/>
        <v>15884</v>
      </c>
    </row>
    <row r="94" spans="1:5" x14ac:dyDescent="0.2">
      <c r="A94" s="19"/>
      <c r="B94" s="20"/>
      <c r="C94" s="21">
        <v>0</v>
      </c>
      <c r="D94" s="21">
        <v>0</v>
      </c>
      <c r="E94" s="22">
        <f t="shared" si="1"/>
        <v>15884</v>
      </c>
    </row>
    <row r="95" spans="1:5" x14ac:dyDescent="0.2">
      <c r="A95" s="19"/>
      <c r="B95" s="20"/>
      <c r="C95" s="21">
        <v>0</v>
      </c>
      <c r="D95" s="21">
        <v>0</v>
      </c>
      <c r="E95" s="22">
        <f t="shared" si="1"/>
        <v>15884</v>
      </c>
    </row>
    <row r="96" spans="1:5" x14ac:dyDescent="0.2">
      <c r="A96" s="19"/>
      <c r="B96" s="20"/>
      <c r="C96" s="21">
        <v>0</v>
      </c>
      <c r="D96" s="21">
        <v>0</v>
      </c>
      <c r="E96" s="22">
        <f t="shared" si="1"/>
        <v>15884</v>
      </c>
    </row>
    <row r="97" spans="1:5" x14ac:dyDescent="0.2">
      <c r="A97" s="19"/>
      <c r="B97" s="20"/>
      <c r="C97" s="21">
        <v>0</v>
      </c>
      <c r="D97" s="21">
        <v>0</v>
      </c>
      <c r="E97" s="22">
        <f t="shared" si="1"/>
        <v>15884</v>
      </c>
    </row>
    <row r="98" spans="1:5" x14ac:dyDescent="0.2">
      <c r="A98" s="19"/>
      <c r="B98" s="20"/>
      <c r="C98" s="21">
        <v>0</v>
      </c>
      <c r="D98" s="21">
        <v>0</v>
      </c>
      <c r="E98" s="22">
        <f t="shared" si="1"/>
        <v>15884</v>
      </c>
    </row>
    <row r="99" spans="1:5" x14ac:dyDescent="0.2">
      <c r="A99" s="19"/>
      <c r="B99" s="20"/>
      <c r="C99" s="21">
        <v>0</v>
      </c>
      <c r="D99" s="21">
        <v>0</v>
      </c>
      <c r="E99" s="22">
        <f t="shared" si="1"/>
        <v>15884</v>
      </c>
    </row>
    <row r="100" spans="1:5" x14ac:dyDescent="0.2">
      <c r="A100" s="19"/>
      <c r="B100" s="20"/>
      <c r="C100" s="21">
        <v>0</v>
      </c>
      <c r="D100" s="21">
        <v>0</v>
      </c>
      <c r="E100" s="22">
        <f t="shared" si="1"/>
        <v>15884</v>
      </c>
    </row>
    <row r="101" spans="1:5" x14ac:dyDescent="0.2">
      <c r="A101" s="19"/>
      <c r="B101" s="20"/>
      <c r="C101" s="21">
        <v>0</v>
      </c>
      <c r="D101" s="21">
        <v>0</v>
      </c>
      <c r="E101" s="22">
        <f t="shared" si="1"/>
        <v>15884</v>
      </c>
    </row>
    <row r="102" spans="1:5" x14ac:dyDescent="0.2">
      <c r="A102" s="19"/>
      <c r="B102" s="20"/>
      <c r="C102" s="21">
        <v>0</v>
      </c>
      <c r="D102" s="21">
        <v>0</v>
      </c>
      <c r="E102" s="22">
        <f t="shared" si="1"/>
        <v>15884</v>
      </c>
    </row>
    <row r="103" spans="1:5" x14ac:dyDescent="0.2">
      <c r="A103" s="19"/>
      <c r="B103" s="20"/>
      <c r="C103" s="21">
        <v>0</v>
      </c>
      <c r="D103" s="21">
        <v>0</v>
      </c>
      <c r="E103" s="22">
        <f t="shared" si="1"/>
        <v>15884</v>
      </c>
    </row>
    <row r="104" spans="1:5" x14ac:dyDescent="0.2">
      <c r="A104" s="19"/>
      <c r="B104" s="20"/>
      <c r="C104" s="21">
        <v>0</v>
      </c>
      <c r="D104" s="21">
        <v>0</v>
      </c>
      <c r="E104" s="22">
        <f t="shared" si="1"/>
        <v>15884</v>
      </c>
    </row>
    <row r="105" spans="1:5" x14ac:dyDescent="0.2">
      <c r="A105" s="19"/>
      <c r="B105" s="20"/>
      <c r="C105" s="21">
        <v>0</v>
      </c>
      <c r="D105" s="21">
        <v>0</v>
      </c>
      <c r="E105" s="22">
        <f t="shared" si="1"/>
        <v>15884</v>
      </c>
    </row>
    <row r="106" spans="1:5" x14ac:dyDescent="0.2">
      <c r="A106" s="19"/>
      <c r="B106" s="20"/>
      <c r="C106" s="21">
        <v>0</v>
      </c>
      <c r="D106" s="21">
        <v>0</v>
      </c>
      <c r="E106" s="22">
        <f t="shared" si="1"/>
        <v>15884</v>
      </c>
    </row>
    <row r="107" spans="1:5" x14ac:dyDescent="0.2">
      <c r="A107" s="19"/>
      <c r="B107" s="20"/>
      <c r="C107" s="21">
        <v>0</v>
      </c>
      <c r="D107" s="21">
        <v>0</v>
      </c>
      <c r="E107" s="22">
        <f t="shared" si="1"/>
        <v>15884</v>
      </c>
    </row>
    <row r="108" spans="1:5" x14ac:dyDescent="0.2">
      <c r="A108" s="19"/>
      <c r="B108" s="20"/>
      <c r="C108" s="21">
        <v>0</v>
      </c>
      <c r="D108" s="21">
        <v>0</v>
      </c>
      <c r="E108" s="22">
        <f t="shared" si="1"/>
        <v>15884</v>
      </c>
    </row>
    <row r="109" spans="1:5" x14ac:dyDescent="0.2">
      <c r="A109" s="19"/>
      <c r="B109" s="20"/>
      <c r="C109" s="21">
        <v>0</v>
      </c>
      <c r="D109" s="21">
        <v>0</v>
      </c>
      <c r="E109" s="22">
        <f t="shared" si="1"/>
        <v>15884</v>
      </c>
    </row>
    <row r="110" spans="1:5" x14ac:dyDescent="0.2">
      <c r="A110" s="19"/>
      <c r="B110" s="20"/>
      <c r="C110" s="21">
        <v>0</v>
      </c>
      <c r="D110" s="21">
        <v>0</v>
      </c>
      <c r="E110" s="22">
        <f t="shared" si="1"/>
        <v>15884</v>
      </c>
    </row>
    <row r="111" spans="1:5" x14ac:dyDescent="0.2">
      <c r="A111" s="19"/>
      <c r="B111" s="20"/>
      <c r="C111" s="21">
        <v>0</v>
      </c>
      <c r="D111" s="21">
        <v>0</v>
      </c>
      <c r="E111" s="22">
        <f t="shared" si="1"/>
        <v>15884</v>
      </c>
    </row>
    <row r="112" spans="1:5" x14ac:dyDescent="0.2">
      <c r="A112" s="19"/>
      <c r="B112" s="20"/>
      <c r="C112" s="21">
        <v>0</v>
      </c>
      <c r="D112" s="21">
        <v>0</v>
      </c>
      <c r="E112" s="22">
        <f t="shared" si="1"/>
        <v>15884</v>
      </c>
    </row>
    <row r="113" spans="1:5" x14ac:dyDescent="0.2">
      <c r="A113" s="19"/>
      <c r="B113" s="20"/>
      <c r="C113" s="21">
        <v>0</v>
      </c>
      <c r="D113" s="21">
        <v>0</v>
      </c>
      <c r="E113" s="22">
        <f t="shared" si="1"/>
        <v>15884</v>
      </c>
    </row>
    <row r="114" spans="1:5" x14ac:dyDescent="0.2">
      <c r="A114" s="19"/>
      <c r="B114" s="20"/>
      <c r="C114" s="21">
        <v>0</v>
      </c>
      <c r="D114" s="21">
        <v>0</v>
      </c>
      <c r="E114" s="22">
        <f t="shared" si="1"/>
        <v>15884</v>
      </c>
    </row>
    <row r="115" spans="1:5" x14ac:dyDescent="0.2">
      <c r="A115" s="19"/>
      <c r="B115" s="20"/>
      <c r="C115" s="21">
        <v>0</v>
      </c>
      <c r="D115" s="21">
        <v>0</v>
      </c>
      <c r="E115" s="22">
        <f t="shared" si="1"/>
        <v>15884</v>
      </c>
    </row>
    <row r="116" spans="1:5" x14ac:dyDescent="0.2">
      <c r="A116" s="19"/>
      <c r="B116" s="20"/>
      <c r="C116" s="21">
        <v>0</v>
      </c>
      <c r="D116" s="21">
        <v>0</v>
      </c>
      <c r="E116" s="22">
        <f t="shared" si="1"/>
        <v>15884</v>
      </c>
    </row>
    <row r="117" spans="1:5" x14ac:dyDescent="0.2">
      <c r="A117" s="19"/>
      <c r="B117" s="20"/>
      <c r="C117" s="21">
        <v>0</v>
      </c>
      <c r="D117" s="21">
        <v>0</v>
      </c>
      <c r="E117" s="22">
        <f t="shared" si="1"/>
        <v>15884</v>
      </c>
    </row>
    <row r="118" spans="1:5" x14ac:dyDescent="0.2">
      <c r="A118" s="19"/>
      <c r="B118" s="20"/>
      <c r="C118" s="21">
        <v>0</v>
      </c>
      <c r="D118" s="21">
        <v>0</v>
      </c>
      <c r="E118" s="22">
        <f t="shared" si="1"/>
        <v>15884</v>
      </c>
    </row>
    <row r="119" spans="1:5" x14ac:dyDescent="0.2">
      <c r="A119" s="19"/>
      <c r="B119" s="20"/>
      <c r="C119" s="21">
        <v>0</v>
      </c>
      <c r="D119" s="21">
        <v>0</v>
      </c>
      <c r="E119" s="22">
        <f t="shared" si="1"/>
        <v>15884</v>
      </c>
    </row>
    <row r="120" spans="1:5" x14ac:dyDescent="0.2">
      <c r="A120" s="19"/>
      <c r="B120" s="20"/>
      <c r="C120" s="21">
        <v>0</v>
      </c>
      <c r="D120" s="21">
        <v>0</v>
      </c>
      <c r="E120" s="22">
        <f t="shared" si="1"/>
        <v>15884</v>
      </c>
    </row>
    <row r="121" spans="1:5" x14ac:dyDescent="0.2">
      <c r="A121" s="19"/>
      <c r="B121" s="20"/>
      <c r="C121" s="21">
        <v>0</v>
      </c>
      <c r="D121" s="21">
        <v>0</v>
      </c>
      <c r="E121" s="22">
        <f t="shared" si="1"/>
        <v>15884</v>
      </c>
    </row>
    <row r="122" spans="1:5" x14ac:dyDescent="0.2">
      <c r="A122" s="19"/>
      <c r="B122" s="20"/>
      <c r="C122" s="21">
        <v>0</v>
      </c>
      <c r="D122" s="21">
        <v>0</v>
      </c>
      <c r="E122" s="22">
        <f t="shared" si="1"/>
        <v>15884</v>
      </c>
    </row>
    <row r="123" spans="1:5" x14ac:dyDescent="0.2">
      <c r="A123" s="19"/>
      <c r="B123" s="20"/>
      <c r="C123" s="21">
        <v>0</v>
      </c>
      <c r="D123" s="21">
        <v>0</v>
      </c>
      <c r="E123" s="22">
        <f t="shared" si="1"/>
        <v>15884</v>
      </c>
    </row>
    <row r="124" spans="1:5" x14ac:dyDescent="0.2">
      <c r="A124" s="19"/>
      <c r="B124" s="20"/>
      <c r="C124" s="21">
        <v>0</v>
      </c>
      <c r="D124" s="21">
        <v>0</v>
      </c>
      <c r="E124" s="22">
        <f t="shared" si="1"/>
        <v>15884</v>
      </c>
    </row>
    <row r="125" spans="1:5" x14ac:dyDescent="0.2">
      <c r="A125" s="19"/>
      <c r="B125" s="20"/>
      <c r="C125" s="21">
        <v>0</v>
      </c>
      <c r="D125" s="21">
        <v>0</v>
      </c>
      <c r="E125" s="22">
        <f t="shared" si="1"/>
        <v>15884</v>
      </c>
    </row>
    <row r="126" spans="1:5" x14ac:dyDescent="0.2">
      <c r="A126" s="19"/>
      <c r="B126" s="20"/>
      <c r="C126" s="21">
        <v>0</v>
      </c>
      <c r="D126" s="21">
        <v>0</v>
      </c>
      <c r="E126" s="22">
        <f t="shared" si="1"/>
        <v>15884</v>
      </c>
    </row>
    <row r="127" spans="1:5" x14ac:dyDescent="0.2">
      <c r="A127" s="19"/>
      <c r="B127" s="20"/>
      <c r="C127" s="21">
        <v>0</v>
      </c>
      <c r="D127" s="21">
        <v>0</v>
      </c>
      <c r="E127" s="22">
        <f t="shared" si="1"/>
        <v>15884</v>
      </c>
    </row>
    <row r="128" spans="1:5" x14ac:dyDescent="0.2">
      <c r="A128" s="19"/>
      <c r="B128" s="20"/>
      <c r="C128" s="21">
        <v>0</v>
      </c>
      <c r="D128" s="21">
        <v>0</v>
      </c>
      <c r="E128" s="22">
        <f t="shared" si="1"/>
        <v>15884</v>
      </c>
    </row>
    <row r="129" spans="1:5" x14ac:dyDescent="0.2">
      <c r="A129" s="19"/>
      <c r="B129" s="20"/>
      <c r="C129" s="21">
        <v>0</v>
      </c>
      <c r="D129" s="21">
        <v>0</v>
      </c>
      <c r="E129" s="22">
        <f t="shared" si="1"/>
        <v>15884</v>
      </c>
    </row>
    <row r="130" spans="1:5" x14ac:dyDescent="0.2">
      <c r="A130" s="19"/>
      <c r="B130" s="20"/>
      <c r="C130" s="21">
        <v>0</v>
      </c>
      <c r="D130" s="21">
        <v>0</v>
      </c>
      <c r="E130" s="22">
        <f t="shared" si="1"/>
        <v>15884</v>
      </c>
    </row>
    <row r="131" spans="1:5" x14ac:dyDescent="0.2">
      <c r="A131" s="19"/>
      <c r="B131" s="20"/>
      <c r="C131" s="21">
        <v>0</v>
      </c>
      <c r="D131" s="21">
        <v>0</v>
      </c>
      <c r="E131" s="22">
        <f t="shared" si="1"/>
        <v>15884</v>
      </c>
    </row>
    <row r="132" spans="1:5" x14ac:dyDescent="0.2">
      <c r="A132" s="19"/>
      <c r="B132" s="20"/>
      <c r="C132" s="21">
        <v>0</v>
      </c>
      <c r="D132" s="21">
        <v>0</v>
      </c>
      <c r="E132" s="22">
        <f t="shared" si="1"/>
        <v>15884</v>
      </c>
    </row>
    <row r="133" spans="1:5" x14ac:dyDescent="0.2">
      <c r="A133" s="19"/>
      <c r="B133" s="20"/>
      <c r="C133" s="21">
        <v>0</v>
      </c>
      <c r="D133" s="21">
        <v>0</v>
      </c>
      <c r="E133" s="22">
        <f t="shared" ref="E133:E140" si="2">SUM(E132+C133-D133)</f>
        <v>15884</v>
      </c>
    </row>
    <row r="134" spans="1:5" x14ac:dyDescent="0.2">
      <c r="A134" s="19"/>
      <c r="B134" s="20"/>
      <c r="C134" s="21">
        <v>0</v>
      </c>
      <c r="D134" s="21">
        <v>0</v>
      </c>
      <c r="E134" s="22">
        <f t="shared" si="2"/>
        <v>15884</v>
      </c>
    </row>
    <row r="135" spans="1:5" x14ac:dyDescent="0.2">
      <c r="A135" s="19"/>
      <c r="B135" s="20"/>
      <c r="C135" s="21">
        <v>0</v>
      </c>
      <c r="D135" s="21">
        <v>0</v>
      </c>
      <c r="E135" s="22">
        <f t="shared" si="2"/>
        <v>15884</v>
      </c>
    </row>
    <row r="136" spans="1:5" x14ac:dyDescent="0.2">
      <c r="A136" s="19"/>
      <c r="B136" s="20"/>
      <c r="C136" s="21">
        <v>0</v>
      </c>
      <c r="D136" s="21">
        <v>0</v>
      </c>
      <c r="E136" s="22">
        <f t="shared" si="2"/>
        <v>15884</v>
      </c>
    </row>
    <row r="137" spans="1:5" x14ac:dyDescent="0.2">
      <c r="A137" s="19"/>
      <c r="B137" s="20"/>
      <c r="C137" s="21">
        <v>0</v>
      </c>
      <c r="D137" s="21">
        <v>0</v>
      </c>
      <c r="E137" s="22">
        <f t="shared" si="2"/>
        <v>15884</v>
      </c>
    </row>
    <row r="138" spans="1:5" x14ac:dyDescent="0.2">
      <c r="A138" s="19"/>
      <c r="B138" s="20"/>
      <c r="C138" s="21">
        <v>0</v>
      </c>
      <c r="D138" s="21">
        <v>0</v>
      </c>
      <c r="E138" s="22">
        <f t="shared" si="2"/>
        <v>15884</v>
      </c>
    </row>
    <row r="139" spans="1:5" x14ac:dyDescent="0.2">
      <c r="A139" s="19"/>
      <c r="B139" s="20"/>
      <c r="C139" s="21">
        <v>0</v>
      </c>
      <c r="D139" s="21">
        <v>0</v>
      </c>
      <c r="E139" s="22">
        <f t="shared" si="2"/>
        <v>15884</v>
      </c>
    </row>
    <row r="140" spans="1:5" x14ac:dyDescent="0.2">
      <c r="A140" s="19"/>
      <c r="B140" s="20"/>
      <c r="C140" s="21">
        <v>0</v>
      </c>
      <c r="D140" s="21">
        <v>0</v>
      </c>
      <c r="E140" s="22">
        <f t="shared" si="2"/>
        <v>15884</v>
      </c>
    </row>
  </sheetData>
  <mergeCells count="1">
    <mergeCell ref="A1:E1"/>
  </mergeCell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PF USD (1)</vt:lpstr>
      <vt:lpstr>PF USD (2)</vt:lpstr>
      <vt:lpstr>PF USD (3)</vt:lpstr>
      <vt:lpstr>PF USD (4)</vt:lpstr>
    </vt:vector>
  </TitlesOfParts>
  <Company>Me&amp;Ta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Facundo Ignacio Giovini</cp:lastModifiedBy>
  <cp:lastPrinted>2019-05-06T15:32:26Z</cp:lastPrinted>
  <dcterms:created xsi:type="dcterms:W3CDTF">1996-11-27T10:00:04Z</dcterms:created>
  <dcterms:modified xsi:type="dcterms:W3CDTF">2026-05-12T18:24:09Z</dcterms:modified>
</cp:coreProperties>
</file>